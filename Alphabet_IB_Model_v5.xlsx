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_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egment_Revenue" sheetId="4" state="visible" r:id="rId4"/>
    <sheet xmlns:r="http://schemas.openxmlformats.org/officeDocument/2006/relationships" name="Segment_PL" sheetId="5" state="visible" r:id="rId5"/>
    <sheet xmlns:r="http://schemas.openxmlformats.org/officeDocument/2006/relationships" name="Consolidated_PL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ash_Flow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Ratio_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0.0"/>
    <numFmt numFmtId="167" formatCode="0.0000"/>
    <numFmt numFmtId="168" formatCode="0.0x"/>
    <numFmt numFmtId="169" formatCode="0.00x"/>
  </numFmts>
  <fonts count="14">
    <font>
      <name val="Calibri"/>
      <family val="2"/>
      <color theme="1"/>
      <sz val="11"/>
      <scheme val="minor"/>
    </font>
    <font>
      <b val="1"/>
      <sz val="20"/>
    </font>
    <font>
      <i val="1"/>
      <color rgb="001F4E78"/>
      <sz val="12"/>
    </font>
    <font>
      <b val="1"/>
      <sz val="10"/>
    </font>
    <font>
      <b val="1"/>
      <sz val="14"/>
    </font>
    <font>
      <i val="1"/>
      <color rgb="00808080"/>
      <sz val="9"/>
    </font>
    <font>
      <b val="1"/>
      <color rgb="001F4E78"/>
      <sz val="10"/>
    </font>
    <font>
      <b val="1"/>
      <color rgb="00FFFFFF"/>
      <sz val="10"/>
    </font>
    <font>
      <b val="1"/>
      <color rgb="001F4E78"/>
      <sz val="11"/>
    </font>
    <font>
      <color rgb="00305496"/>
      <sz val="10"/>
    </font>
    <font>
      <color rgb="00808080"/>
      <sz val="9"/>
    </font>
    <font>
      <b val="1"/>
      <color rgb="00808080"/>
      <sz val="9"/>
    </font>
    <font>
      <sz val="10"/>
    </font>
    <font>
      <color rgb="00548235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13" fillId="0" borderId="1" pivotButton="0" quotePrefix="0" xfId="0"/>
    <xf numFmtId="0" fontId="10" fillId="0" borderId="1" pivotButton="0" quotePrefix="0" xfId="0"/>
    <xf numFmtId="164" fontId="5" fillId="0" borderId="1" pivotButton="0" quotePrefix="0" xfId="0"/>
    <xf numFmtId="165" fontId="13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0" fontId="8" fillId="4" borderId="1" pivotButton="0" quotePrefix="0" xfId="0"/>
    <xf numFmtId="0" fontId="0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  <xf numFmtId="10" fontId="9" fillId="5" borderId="1" pivotButton="0" quotePrefix="0" xfId="0"/>
    <xf numFmtId="10" fontId="6" fillId="2" borderId="1" pivotButton="0" quotePrefix="0" xfId="0"/>
    <xf numFmtId="10" fontId="3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2" fontId="9" fillId="5" borderId="1" pivotButton="0" quotePrefix="0" xfId="0"/>
    <xf numFmtId="2" fontId="6" fillId="2" borderId="1" pivotButton="0" quotePrefix="0" xfId="0"/>
    <xf numFmtId="2" fontId="3" fillId="0" borderId="1" pivotButton="0" quotePrefix="0" xfId="0"/>
    <xf numFmtId="164" fontId="9" fillId="5" borderId="1" pivotButton="0" quotePrefix="0" xfId="0"/>
    <xf numFmtId="164" fontId="6" fillId="2" borderId="1" pivotButton="0" quotePrefix="0" xfId="0"/>
    <xf numFmtId="164" fontId="3" fillId="0" borderId="1" pivotButton="0" quotePrefix="0" xfId="0"/>
    <xf numFmtId="10" fontId="0" fillId="0" borderId="1" pivotButton="0" quotePrefix="0" xfId="0"/>
    <xf numFmtId="10" fontId="3" fillId="6" borderId="1" pivotButton="0" quotePrefix="0" xfId="0"/>
    <xf numFmtId="3" fontId="9" fillId="5" borderId="1" pivotButton="0" quotePrefix="0" xfId="0"/>
    <xf numFmtId="3" fontId="6" fillId="2" borderId="1" pivotButton="0" quotePrefix="0" xfId="0"/>
    <xf numFmtId="3" fontId="3" fillId="0" borderId="1" pivotButton="0" quotePrefix="0" xfId="0"/>
    <xf numFmtId="0" fontId="7" fillId="3" borderId="1" pivotButton="0" quotePrefix="0" xfId="0"/>
    <xf numFmtId="164" fontId="9" fillId="0" borderId="1" pivotButton="0" quotePrefix="0" xfId="0"/>
    <xf numFmtId="165" fontId="9" fillId="5" borderId="1" pivotButton="0" quotePrefix="0" xfId="0"/>
    <xf numFmtId="165" fontId="6" fillId="2" borderId="1" pivotButton="0" quotePrefix="0" xfId="0"/>
    <xf numFmtId="165" fontId="3" fillId="0" borderId="1" pivotButton="0" quotePrefix="0" xfId="0"/>
    <xf numFmtId="166" fontId="9" fillId="5" borderId="1" pivotButton="0" quotePrefix="0" xfId="0"/>
    <xf numFmtId="166" fontId="6" fillId="2" borderId="1" pivotButton="0" quotePrefix="0" xfId="0"/>
    <xf numFmtId="166" fontId="3" fillId="0" borderId="1" pivotButton="0" quotePrefix="0" xfId="0"/>
    <xf numFmtId="0" fontId="0" fillId="3" borderId="1" pivotButton="0" quotePrefix="0" xfId="0"/>
    <xf numFmtId="3" fontId="9" fillId="0" borderId="1" pivotButton="0" quotePrefix="0" xfId="0"/>
    <xf numFmtId="3" fontId="0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3" fillId="6" borderId="1" pivotButton="0" quotePrefix="0" xfId="0"/>
    <xf numFmtId="3" fontId="3" fillId="6" borderId="1" pivotButton="0" quotePrefix="0" xfId="0"/>
    <xf numFmtId="0" fontId="12" fillId="0" borderId="1" pivotButton="0" quotePrefix="0" xfId="0"/>
    <xf numFmtId="0" fontId="3" fillId="7" borderId="1" pivotButton="0" quotePrefix="0" xfId="0"/>
    <xf numFmtId="3" fontId="3" fillId="7" borderId="1" pivotButton="0" quotePrefix="0" xfId="0"/>
    <xf numFmtId="3" fontId="13" fillId="6" borderId="1" pivotButton="0" quotePrefix="0" xfId="0"/>
    <xf numFmtId="3" fontId="5" fillId="0" borderId="1" pivotButton="0" quotePrefix="0" xfId="0"/>
    <xf numFmtId="165" fontId="3" fillId="6" borderId="1" pivotButton="0" quotePrefix="0" xfId="0"/>
    <xf numFmtId="3" fontId="9" fillId="6" borderId="1" pivotButton="0" quotePrefix="0" xfId="0"/>
    <xf numFmtId="3" fontId="9" fillId="4" borderId="1" pivotButton="0" quotePrefix="0" xfId="0"/>
    <xf numFmtId="167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5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Alphabet Inc. (GOOG/GOOGL)</t>
        </is>
      </c>
    </row>
    <row r="2">
      <c r="A2" s="2" t="inlineStr">
        <is>
          <t>Segment-Driven DCF Model  |  v5  |  2026-02-10</t>
        </is>
      </c>
    </row>
    <row r="4">
      <c r="A4" s="3" t="inlineStr">
        <is>
          <t>数据来源 Data Sources</t>
        </is>
      </c>
      <c r="B4" t="inlineStr">
        <is>
          <t>Alphabet 2025 10-K + Q4'25 Earnings Call + FRED</t>
        </is>
      </c>
    </row>
    <row r="5">
      <c r="A5" s="3" t="inlineStr">
        <is>
          <t>CapEx 2026 指引</t>
        </is>
      </c>
      <c r="B5" t="inlineStr">
        <is>
          <t>$75B/quarter → annualized ~$180B (earnings call 2026-02-04)</t>
        </is>
      </c>
    </row>
    <row r="6">
      <c r="A6" s="3" t="inlineStr">
        <is>
          <t>模型特色 Key Feature</t>
        </is>
      </c>
      <c r="B6" t="inlineStr">
        <is>
          <t>11-Tab model: 三表联动 (PL + BS + CF) + Segment P&amp;L 交叉验证</t>
        </is>
      </c>
    </row>
    <row r="7">
      <c r="A7" s="3" t="inlineStr">
        <is>
          <t xml:space="preserve">  </t>
        </is>
      </c>
      <c r="B7" t="inlineStr">
        <is>
          <t>Dual-layer P&amp;L: Segment_PL (by division) + Consolidated_PL (by cost type)</t>
        </is>
      </c>
    </row>
    <row r="9">
      <c r="A9" s="3" t="inlineStr">
        <is>
          <t>使用步骤 HOW TO USE</t>
        </is>
      </c>
    </row>
    <row r="10">
      <c r="A10" s="3" t="inlineStr">
        <is>
          <t>Step 1</t>
        </is>
      </c>
      <c r="B10" t="inlineStr">
        <is>
          <t>Go to Assumptions → edit BLUE cells only (蓝底单元格)</t>
        </is>
      </c>
    </row>
    <row r="11">
      <c r="A11" s="3" t="inlineStr">
        <is>
          <t>Step 2</t>
        </is>
      </c>
      <c r="B11" t="inlineStr">
        <is>
          <t>Switch scenario: Assumptions!B2 → Base / Bull / Bear</t>
        </is>
      </c>
    </row>
    <row r="12">
      <c r="A12" s="3" t="inlineStr">
        <is>
          <t>Step 3</t>
        </is>
      </c>
      <c r="B12" t="inlineStr">
        <is>
          <t>All tabs auto-update: Revenue → Segment PL → Consolidated PL → BS → CF → DCF</t>
        </is>
      </c>
    </row>
    <row r="13">
      <c r="A13" s="3" t="inlineStr">
        <is>
          <t>Step 4</t>
        </is>
      </c>
      <c r="B13" t="inlineStr">
        <is>
          <t>Check Segment_PL cross-check row: difference should = 0</t>
        </is>
      </c>
    </row>
    <row r="14">
      <c r="A14" s="3" t="inlineStr">
        <is>
          <t>Step 5</t>
        </is>
      </c>
      <c r="B14" t="inlineStr">
        <is>
          <t>Check BS balance check row: Total Assets = Total L&amp;E</t>
        </is>
      </c>
    </row>
    <row r="15">
      <c r="A15" s="3" t="inlineStr">
        <is>
          <t>Step 6</t>
        </is>
      </c>
      <c r="B15" t="inlineStr">
        <is>
          <t>Every assumption shows HISTORICAL values (2023-2025) for reference</t>
        </is>
      </c>
    </row>
    <row r="16">
      <c r="A16" s="3" t="inlineStr">
        <is>
          <t>Step 7</t>
        </is>
      </c>
      <c r="B16" t="inlineStr">
        <is>
          <t>Notes column (col J) explains prediction logic for every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>
      <c r="A1" s="4" t="inlineStr">
        <is>
          <t>Alphabet Inc. (GOOG) - 财务摘要 Executive Summary</t>
        </is>
      </c>
    </row>
    <row r="2">
      <c r="A2" s="5" t="inlineStr">
        <is>
          <t>单位：百万美元（USD Million）</t>
        </is>
      </c>
    </row>
    <row r="4">
      <c r="A4" s="6" t="inlineStr">
        <is>
          <t>核心财务指标 Key Financial Highlights</t>
        </is>
      </c>
      <c r="B4" s="6" t="inlineStr">
        <is>
          <t>2023A</t>
        </is>
      </c>
      <c r="C4" s="6" t="inlineStr">
        <is>
          <t>2024A</t>
        </is>
      </c>
      <c r="D4" s="6" t="inlineStr">
        <is>
          <t>2025A</t>
        </is>
      </c>
      <c r="E4" s="6" t="inlineStr">
        <is>
          <t>2026E</t>
        </is>
      </c>
      <c r="F4" s="6" t="inlineStr">
        <is>
          <t>2027E</t>
        </is>
      </c>
      <c r="G4" s="6" t="inlineStr">
        <is>
          <t>2028E</t>
        </is>
      </c>
      <c r="H4" s="6" t="inlineStr">
        <is>
          <t>说明 Notes</t>
        </is>
      </c>
    </row>
    <row r="5">
      <c r="A5" s="7" t="inlineStr">
        <is>
          <t>总收入 Total Revenue</t>
        </is>
      </c>
      <c r="B5" s="8">
        <f>Consolidated_PL!B5</f>
        <v/>
      </c>
      <c r="C5" s="8">
        <f>Consolidated_PL!C5</f>
        <v/>
      </c>
      <c r="D5" s="8">
        <f>Consolidated_PL!D5</f>
        <v/>
      </c>
      <c r="E5" s="8">
        <f>Consolidated_PL!E5</f>
        <v/>
      </c>
      <c r="F5" s="8">
        <f>Consolidated_PL!F5</f>
        <v/>
      </c>
      <c r="G5" s="8">
        <f>Consolidated_PL!G5</f>
        <v/>
      </c>
      <c r="H5" s="9" t="inlineStr">
        <is>
          <t>链接自Consolidated_PL</t>
        </is>
      </c>
    </row>
    <row r="6">
      <c r="A6" s="7" t="inlineStr">
        <is>
          <t xml:space="preserve">  YoY增速 %</t>
        </is>
      </c>
      <c r="C6" s="10">
        <f>C5/B5-1</f>
        <v/>
      </c>
      <c r="D6" s="10">
        <f>D5/C5-1</f>
        <v/>
      </c>
      <c r="E6" s="10">
        <f>E5/D5-1</f>
        <v/>
      </c>
      <c r="F6" s="10">
        <f>F5/E5-1</f>
        <v/>
      </c>
      <c r="G6" s="10">
        <f>G5/F5-1</f>
        <v/>
      </c>
    </row>
    <row r="7">
      <c r="A7" s="7" t="inlineStr">
        <is>
          <t>毛利润 Gross Profit</t>
        </is>
      </c>
      <c r="B7" s="8">
        <f>Consolidated_PL!B15</f>
        <v/>
      </c>
      <c r="C7" s="8">
        <f>Consolidated_PL!C15</f>
        <v/>
      </c>
      <c r="D7" s="8">
        <f>Consolidated_PL!D15</f>
        <v/>
      </c>
      <c r="E7" s="8">
        <f>Consolidated_PL!E15</f>
        <v/>
      </c>
      <c r="F7" s="8">
        <f>Consolidated_PL!F15</f>
        <v/>
      </c>
      <c r="G7" s="8">
        <f>Consolidated_PL!G15</f>
        <v/>
      </c>
    </row>
    <row r="8">
      <c r="A8" s="7" t="inlineStr">
        <is>
          <t xml:space="preserve">  毛利率 GPM %</t>
        </is>
      </c>
      <c r="B8" s="10">
        <f>B7/B5</f>
        <v/>
      </c>
      <c r="C8" s="10">
        <f>C7/C5</f>
        <v/>
      </c>
      <c r="D8" s="10">
        <f>D7/D5</f>
        <v/>
      </c>
      <c r="E8" s="10">
        <f>E7/E5</f>
        <v/>
      </c>
      <c r="F8" s="10">
        <f>F7/F5</f>
        <v/>
      </c>
      <c r="G8" s="10">
        <f>G7/G5</f>
        <v/>
      </c>
    </row>
    <row r="9">
      <c r="A9" s="7" t="inlineStr">
        <is>
          <t>营业利润 EBIT</t>
        </is>
      </c>
      <c r="B9" s="8">
        <f>Consolidated_PL!B26</f>
        <v/>
      </c>
      <c r="C9" s="8">
        <f>Consolidated_PL!C26</f>
        <v/>
      </c>
      <c r="D9" s="8">
        <f>Consolidated_PL!D26</f>
        <v/>
      </c>
      <c r="E9" s="8">
        <f>Consolidated_PL!E26</f>
        <v/>
      </c>
      <c r="F9" s="8">
        <f>Consolidated_PL!F26</f>
        <v/>
      </c>
      <c r="G9" s="8">
        <f>Consolidated_PL!G26</f>
        <v/>
      </c>
    </row>
    <row r="10">
      <c r="A10" s="7" t="inlineStr">
        <is>
          <t xml:space="preserve">  营业利润率 OPM %</t>
        </is>
      </c>
      <c r="B10" s="10">
        <f>B9/B5</f>
        <v/>
      </c>
      <c r="C10" s="10">
        <f>C9/C5</f>
        <v/>
      </c>
      <c r="D10" s="10">
        <f>D9/D5</f>
        <v/>
      </c>
      <c r="E10" s="10">
        <f>E9/E5</f>
        <v/>
      </c>
      <c r="F10" s="10">
        <f>F9/F5</f>
        <v/>
      </c>
      <c r="G10" s="10">
        <f>G9/G5</f>
        <v/>
      </c>
    </row>
    <row r="11">
      <c r="A11" s="7" t="inlineStr">
        <is>
          <t>净利润 Net Income</t>
        </is>
      </c>
      <c r="B11" s="8">
        <f>Consolidated_PL!B33</f>
        <v/>
      </c>
      <c r="C11" s="8">
        <f>Consolidated_PL!C33</f>
        <v/>
      </c>
      <c r="D11" s="8">
        <f>Consolidated_PL!D33</f>
        <v/>
      </c>
      <c r="E11" s="8">
        <f>Consolidated_PL!E33</f>
        <v/>
      </c>
      <c r="F11" s="8">
        <f>Consolidated_PL!F33</f>
        <v/>
      </c>
      <c r="G11" s="8">
        <f>Consolidated_PL!G33</f>
        <v/>
      </c>
    </row>
    <row r="12">
      <c r="A12" s="7" t="inlineStr">
        <is>
          <t xml:space="preserve">  净利率 NPM %</t>
        </is>
      </c>
      <c r="B12" s="10">
        <f>B11/B5</f>
        <v/>
      </c>
      <c r="C12" s="10">
        <f>C11/C5</f>
        <v/>
      </c>
      <c r="D12" s="10">
        <f>D11/D5</f>
        <v/>
      </c>
      <c r="E12" s="10">
        <f>E11/E5</f>
        <v/>
      </c>
      <c r="F12" s="10">
        <f>F11/F5</f>
        <v/>
      </c>
      <c r="G12" s="10">
        <f>G11/G5</f>
        <v/>
      </c>
    </row>
    <row r="13">
      <c r="A13" s="7" t="inlineStr">
        <is>
          <t xml:space="preserve">  NI YoY %</t>
        </is>
      </c>
      <c r="C13" s="10">
        <f>C12/B12-1</f>
        <v/>
      </c>
      <c r="D13" s="10">
        <f>D12/C12-1</f>
        <v/>
      </c>
      <c r="E13" s="10">
        <f>E12/D12-1</f>
        <v/>
      </c>
      <c r="F13" s="10">
        <f>F12/E12-1</f>
        <v/>
      </c>
      <c r="G13" s="10">
        <f>G12/F12-1</f>
        <v/>
      </c>
    </row>
    <row r="14">
      <c r="A14" s="7" t="inlineStr">
        <is>
          <t>稀释EPS</t>
        </is>
      </c>
      <c r="B14" s="11">
        <f>Consolidated_PL!B41</f>
        <v/>
      </c>
      <c r="C14" s="11">
        <f>Consolidated_PL!C41</f>
        <v/>
      </c>
      <c r="D14" s="11">
        <f>Consolidated_PL!D41</f>
        <v/>
      </c>
      <c r="E14" s="11">
        <f>Consolidated_PL!E41</f>
        <v/>
      </c>
      <c r="F14" s="11">
        <f>Consolidated_PL!F41</f>
        <v/>
      </c>
      <c r="G14" s="11">
        <f>Consolidated_PL!G41</f>
        <v/>
      </c>
    </row>
    <row r="16">
      <c r="A16" s="6" t="inlineStr">
        <is>
          <t>分部收入结构 Revenue by Segment</t>
        </is>
      </c>
      <c r="B16" s="6" t="inlineStr">
        <is>
          <t>2023A</t>
        </is>
      </c>
      <c r="C16" s="6" t="inlineStr">
        <is>
          <t>2024A</t>
        </is>
      </c>
      <c r="D16" s="6" t="inlineStr">
        <is>
          <t>2025A</t>
        </is>
      </c>
      <c r="E16" s="6" t="inlineStr">
        <is>
          <t>2026E</t>
        </is>
      </c>
      <c r="F16" s="6" t="inlineStr">
        <is>
          <t>2027E</t>
        </is>
      </c>
      <c r="G16" s="6" t="inlineStr">
        <is>
          <t>2028E</t>
        </is>
      </c>
      <c r="H16" s="6" t="inlineStr">
        <is>
          <t>说明 Notes</t>
        </is>
      </c>
    </row>
    <row r="17">
      <c r="A17" s="7" t="inlineStr">
        <is>
          <t>Google Services Total</t>
        </is>
      </c>
      <c r="B17" s="8">
        <f>Segment_Revenue!B19</f>
        <v/>
      </c>
      <c r="C17" s="8">
        <f>Segment_Revenue!C19</f>
        <v/>
      </c>
      <c r="D17" s="8">
        <f>Segment_Revenue!D19</f>
        <v/>
      </c>
      <c r="E17" s="8">
        <f>Segment_Revenue!E19</f>
        <v/>
      </c>
      <c r="F17" s="8">
        <f>Segment_Revenue!F19</f>
        <v/>
      </c>
      <c r="G17" s="8">
        <f>Segment_Revenue!G19</f>
        <v/>
      </c>
    </row>
    <row r="18">
      <c r="A18" s="12" t="inlineStr">
        <is>
          <t xml:space="preserve">  占比 %</t>
        </is>
      </c>
      <c r="B18" s="10">
        <f>B17/B5</f>
        <v/>
      </c>
      <c r="C18" s="10">
        <f>C17/C5</f>
        <v/>
      </c>
      <c r="D18" s="10">
        <f>D17/D5</f>
        <v/>
      </c>
      <c r="E18" s="10">
        <f>E17/E5</f>
        <v/>
      </c>
      <c r="F18" s="10">
        <f>F17/F5</f>
        <v/>
      </c>
      <c r="G18" s="10">
        <f>G17/G5</f>
        <v/>
      </c>
    </row>
    <row r="19">
      <c r="A19" s="7" t="inlineStr">
        <is>
          <t>Google Cloud</t>
        </is>
      </c>
      <c r="B19" s="8">
        <f>Segment_Revenue!B22</f>
        <v/>
      </c>
      <c r="C19" s="8">
        <f>Segment_Revenue!C22</f>
        <v/>
      </c>
      <c r="D19" s="8">
        <f>Segment_Revenue!D22</f>
        <v/>
      </c>
      <c r="E19" s="8">
        <f>Segment_Revenue!E22</f>
        <v/>
      </c>
      <c r="F19" s="8">
        <f>Segment_Revenue!F22</f>
        <v/>
      </c>
      <c r="G19" s="8">
        <f>Segment_Revenue!G22</f>
        <v/>
      </c>
    </row>
    <row r="20">
      <c r="A20" s="12" t="inlineStr">
        <is>
          <t xml:space="preserve">  占比 %</t>
        </is>
      </c>
      <c r="B20" s="10">
        <f>B19/B5</f>
        <v/>
      </c>
      <c r="C20" s="10">
        <f>C19/C5</f>
        <v/>
      </c>
      <c r="D20" s="10">
        <f>D19/D5</f>
        <v/>
      </c>
      <c r="E20" s="10">
        <f>E19/E5</f>
        <v/>
      </c>
      <c r="F20" s="10">
        <f>F19/F5</f>
        <v/>
      </c>
      <c r="G20" s="10">
        <f>G19/G5</f>
        <v/>
      </c>
    </row>
    <row r="21">
      <c r="A21" s="7" t="inlineStr">
        <is>
          <t>Other Bets</t>
        </is>
      </c>
      <c r="B21" s="8">
        <f>Segment_Revenue!B26</f>
        <v/>
      </c>
      <c r="C21" s="8">
        <f>Segment_Revenue!C26</f>
        <v/>
      </c>
      <c r="D21" s="8">
        <f>Segment_Revenue!D26</f>
        <v/>
      </c>
      <c r="E21" s="8">
        <f>Segment_Revenue!E26</f>
        <v/>
      </c>
      <c r="F21" s="8">
        <f>Segment_Revenue!F26</f>
        <v/>
      </c>
      <c r="G21" s="8">
        <f>Segment_Revenue!G26</f>
        <v/>
      </c>
    </row>
    <row r="22">
      <c r="A22" s="12" t="inlineStr">
        <is>
          <t xml:space="preserve">  占比 %</t>
        </is>
      </c>
      <c r="B22" s="10">
        <f>B21/B5</f>
        <v/>
      </c>
      <c r="C22" s="10">
        <f>C21/C5</f>
        <v/>
      </c>
      <c r="D22" s="10">
        <f>D21/D5</f>
        <v/>
      </c>
      <c r="E22" s="10">
        <f>E21/E5</f>
        <v/>
      </c>
      <c r="F22" s="10">
        <f>F21/F5</f>
        <v/>
      </c>
      <c r="G22" s="10">
        <f>G21/G5</f>
        <v/>
      </c>
    </row>
    <row r="24">
      <c r="A24" s="6" t="inlineStr">
        <is>
          <t>资产负债核心指标 Balance Sheet Highlights</t>
        </is>
      </c>
      <c r="B24" s="6" t="inlineStr">
        <is>
          <t>2023A</t>
        </is>
      </c>
      <c r="C24" s="6" t="inlineStr">
        <is>
          <t>2024A</t>
        </is>
      </c>
      <c r="D24" s="6" t="inlineStr">
        <is>
          <t>2025A</t>
        </is>
      </c>
      <c r="E24" s="6" t="inlineStr">
        <is>
          <t>2026E</t>
        </is>
      </c>
      <c r="F24" s="6" t="inlineStr">
        <is>
          <t>2027E</t>
        </is>
      </c>
      <c r="G24" s="6" t="inlineStr">
        <is>
          <t>2028E</t>
        </is>
      </c>
      <c r="H24" s="6" t="inlineStr">
        <is>
          <t>说明</t>
        </is>
      </c>
    </row>
    <row r="25">
      <c r="A25" s="7" t="inlineStr">
        <is>
          <t>总资产 Total Assets</t>
        </is>
      </c>
      <c r="B25" s="8">
        <f>BS!B21</f>
        <v/>
      </c>
      <c r="C25" s="8">
        <f>BS!C21</f>
        <v/>
      </c>
      <c r="D25" s="8">
        <f>BS!D21</f>
        <v/>
      </c>
      <c r="E25" s="8">
        <f>BS!E21</f>
        <v/>
      </c>
      <c r="F25" s="8">
        <f>BS!F21</f>
        <v/>
      </c>
      <c r="G25" s="8">
        <f>BS!G21</f>
        <v/>
      </c>
    </row>
    <row r="26">
      <c r="A26" s="7" t="inlineStr">
        <is>
          <t>股东权益 Total Equity</t>
        </is>
      </c>
      <c r="B26" s="8">
        <f>BS!B40</f>
        <v/>
      </c>
      <c r="C26" s="8">
        <f>BS!C40</f>
        <v/>
      </c>
      <c r="D26" s="8">
        <f>BS!D40</f>
        <v/>
      </c>
      <c r="E26" s="8">
        <f>BS!E40</f>
        <v/>
      </c>
      <c r="F26" s="8">
        <f>BS!F40</f>
        <v/>
      </c>
      <c r="G26" s="8">
        <f>BS!G40</f>
        <v/>
      </c>
    </row>
    <row r="27">
      <c r="A27" s="7" t="inlineStr">
        <is>
          <t>现金及证券 Cash &amp; Securities</t>
        </is>
      </c>
      <c r="B27" s="8">
        <f>BS!B8</f>
        <v/>
      </c>
      <c r="C27" s="8">
        <f>BS!C8</f>
        <v/>
      </c>
      <c r="D27" s="8">
        <f>BS!D8</f>
        <v/>
      </c>
      <c r="E27" s="8">
        <f>BS!E8</f>
        <v/>
      </c>
      <c r="F27" s="8">
        <f>BS!F8</f>
        <v/>
      </c>
      <c r="G27" s="8">
        <f>BS!G8</f>
        <v/>
      </c>
    </row>
    <row r="28">
      <c r="A28" s="7" t="inlineStr">
        <is>
          <t>ROE 净资产收益率</t>
        </is>
      </c>
      <c r="B28" s="13">
        <f>B11/B26</f>
        <v/>
      </c>
      <c r="C28" s="13">
        <f>C11/C26</f>
        <v/>
      </c>
      <c r="D28" s="13">
        <f>D11/D26</f>
        <v/>
      </c>
      <c r="E28" s="13">
        <f>E11/E26</f>
        <v/>
      </c>
      <c r="F28" s="13">
        <f>F11/F26</f>
        <v/>
      </c>
      <c r="G28" s="13">
        <f>G11/G26</f>
        <v/>
      </c>
      <c r="H28" s="9" t="inlineStr">
        <is>
          <t>净利润/权益</t>
        </is>
      </c>
    </row>
    <row r="29">
      <c r="A29" s="7" t="inlineStr">
        <is>
          <t>ROA 总资产收益率</t>
        </is>
      </c>
      <c r="B29" s="13">
        <f>B11/B25</f>
        <v/>
      </c>
      <c r="C29" s="13">
        <f>C11/C25</f>
        <v/>
      </c>
      <c r="D29" s="13">
        <f>D11/D25</f>
        <v/>
      </c>
      <c r="E29" s="13">
        <f>E11/E25</f>
        <v/>
      </c>
      <c r="F29" s="13">
        <f>F11/F25</f>
        <v/>
      </c>
      <c r="G29" s="13">
        <f>G11/G25</f>
        <v/>
      </c>
      <c r="H29" s="9" t="inlineStr">
        <is>
          <t>净利润/总资产</t>
        </is>
      </c>
    </row>
    <row r="32">
      <c r="A32" s="14" t="inlineStr">
        <is>
          <t>关键投资亮点 Key Investment Highlights</t>
        </is>
      </c>
      <c r="B32" s="15" t="n"/>
      <c r="C32" s="15" t="n"/>
      <c r="D32" s="15" t="n"/>
      <c r="E32" s="15" t="n"/>
      <c r="F32" s="15" t="n"/>
      <c r="G32" s="15" t="n"/>
      <c r="H32" s="15" t="n"/>
    </row>
    <row r="33">
      <c r="A33" s="16" t="inlineStr">
        <is>
          <t>✓ AI驱动搜索广告核心引擎，Search+YouTube贡献&gt;65%收入</t>
        </is>
      </c>
    </row>
    <row r="34">
      <c r="A34" s="16" t="inlineStr">
        <is>
          <t>✓ Google Cloud 48% YoY增长(Q4'25)，利润率从5%→24%快速提升</t>
        </is>
      </c>
    </row>
    <row r="35">
      <c r="A35" s="16" t="inlineStr">
        <is>
          <t>✓ AI CapEx高峰投资($180B/2026)确立长期竞争壁垒</t>
        </is>
      </c>
    </row>
    <row r="36">
      <c r="A36" s="16" t="inlineStr">
        <is>
          <t>✓ 稳健股东回报：年回购~$50B + 股息$0.88/share</t>
        </is>
      </c>
    </row>
    <row r="37">
      <c r="A37" s="16" t="inlineStr">
        <is>
          <t>✓ Net cash &gt;$80B，资产负债表极其稳健</t>
        </is>
      </c>
    </row>
    <row r="38">
      <c r="A38" s="16" t="inlineStr">
        <is>
          <t>⚠ 风险：AI CapEx回报不确定、DOJ反垄断、Cloud竞争激烈</t>
        </is>
      </c>
    </row>
    <row r="40">
      <c r="A40" s="17" t="inlineStr">
        <is>
          <t>数据图例 Data Legend:</t>
        </is>
      </c>
    </row>
    <row r="41">
      <c r="A41" s="16" t="inlineStr">
        <is>
          <t xml:space="preserve">  蓝色字体 Blue Font = 财报原始数据 Hardcoded from financials</t>
        </is>
      </c>
    </row>
    <row r="42">
      <c r="A42" s="16" t="inlineStr">
        <is>
          <t xml:space="preserve">  绿色字体 Green Font = 链接自其他工作表 Links from other sheets</t>
        </is>
      </c>
    </row>
    <row r="43">
      <c r="A43" s="16" t="inlineStr">
        <is>
          <t xml:space="preserve">  蓝底深蓝字体 Blue Fill = 可编辑假设 Editable assumption inputs</t>
        </is>
      </c>
    </row>
    <row r="44">
      <c r="A44" s="16" t="inlineStr">
        <is>
          <t xml:space="preserve">  黄底粗体 Yellow Fill = 关键输出 Key output rows</t>
        </is>
      </c>
    </row>
    <row r="45">
      <c r="A45" s="16" t="inlineStr">
        <is>
          <t xml:space="preserve">  黑色字体 Black Font = 公式计算 Calculated from formulas</t>
        </is>
      </c>
    </row>
    <row r="47">
      <c r="A47" s="17" t="inlineStr">
        <is>
          <t>数据来源 Data Sources:</t>
        </is>
      </c>
    </row>
    <row r="48">
      <c r="A48" s="16" t="inlineStr">
        <is>
          <t xml:space="preserve">  • Alphabet 2025 10-K Annual Report (filed Feb 4, 2026) - Consolidated Financial Statements pp.48-52</t>
        </is>
      </c>
    </row>
    <row r="49">
      <c r="A49" s="16" t="inlineStr">
        <is>
          <t xml:space="preserve">  • Alphabet 2025 10-K Note 15: Segment Information (Google Services, Cloud, Other Bets)</t>
        </is>
      </c>
    </row>
    <row r="50">
      <c r="A50" s="16" t="inlineStr">
        <is>
          <t xml:space="preserve">  • Q4 2025 Earnings Call (Feb 4, 2026): CapEx 2026 guidance $75B (single quarter) → annualized ~$180B</t>
        </is>
      </c>
    </row>
    <row r="51">
      <c r="A51" s="16" t="inlineStr">
        <is>
          <t xml:space="preserve">  • 10Y UST yield ~4.2% (Feb 2026), Fed 2% long-term inflation target</t>
        </is>
      </c>
    </row>
  </sheetData>
  <mergeCells count="1"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4" t="inlineStr">
        <is>
          <t>Assumptions &amp; Drivers 假设与驱动</t>
        </is>
      </c>
    </row>
    <row r="2">
      <c r="A2" t="inlineStr">
        <is>
          <t>Scenario 情景</t>
        </is>
      </c>
      <c r="B2" s="18" t="inlineStr">
        <is>
          <t>Base</t>
        </is>
      </c>
    </row>
    <row r="4">
      <c r="A4" s="6" t="inlineStr">
        <is>
          <t>Parameter 参数</t>
        </is>
      </c>
      <c r="B4" s="6" t="inlineStr">
        <is>
          <t>2023A</t>
        </is>
      </c>
      <c r="C4" s="6" t="inlineStr">
        <is>
          <t>2024A</t>
        </is>
      </c>
      <c r="D4" s="6" t="inlineStr">
        <is>
          <t>2025A</t>
        </is>
      </c>
      <c r="E4" s="6" t="inlineStr"/>
      <c r="F4" s="6" t="inlineStr">
        <is>
          <t>Base</t>
        </is>
      </c>
      <c r="G4" s="6" t="inlineStr">
        <is>
          <t>Bull</t>
        </is>
      </c>
      <c r="H4" s="6" t="inlineStr">
        <is>
          <t>Bear</t>
        </is>
      </c>
      <c r="I4" s="6" t="inlineStr">
        <is>
          <t>Selected</t>
        </is>
      </c>
      <c r="J4" s="6" t="inlineStr"/>
      <c r="K4" s="6" t="inlineStr">
        <is>
          <t>Notes / 预测逻辑</t>
        </is>
      </c>
    </row>
    <row r="6">
      <c r="A6" s="14" t="inlineStr">
        <is>
          <t>WACC 加权平均资本成本参数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7" t="inlineStr">
        <is>
          <t>Risk-Free Rate 无风险利率 (10Y UST)</t>
        </is>
      </c>
      <c r="B7" s="19" t="n"/>
      <c r="C7" s="19" t="n"/>
      <c r="D7" s="19" t="n"/>
      <c r="F7" s="20" t="n">
        <v>0.042</v>
      </c>
      <c r="G7" s="20" t="n">
        <v>0.042</v>
      </c>
      <c r="H7" s="20" t="n">
        <v>0.042</v>
      </c>
      <c r="I7" s="21">
        <f>CHOOSE(MATCH($B$2,{"Base","Bull","Bear"},0),F7,G7,H7)</f>
        <v/>
      </c>
      <c r="K7" s="22" t="inlineStr">
        <is>
          <t>10Y美债收益率 ~4.2% (Feb 2026)</t>
        </is>
      </c>
    </row>
    <row r="8">
      <c r="A8" s="7" t="inlineStr">
        <is>
          <t>Equity Beta 权益Beta</t>
        </is>
      </c>
      <c r="B8" s="23" t="n"/>
      <c r="C8" s="23" t="n"/>
      <c r="D8" s="23" t="n"/>
      <c r="F8" s="24" t="n">
        <v>1.05</v>
      </c>
      <c r="G8" s="24" t="n">
        <v>1</v>
      </c>
      <c r="H8" s="24" t="n">
        <v>1.1</v>
      </c>
      <c r="I8" s="25">
        <f>CHOOSE(MATCH($B$2,{"Base","Bull","Bear"},0),F8,G8,H8)</f>
        <v/>
      </c>
      <c r="K8" s="22" t="inlineStr">
        <is>
          <t>参考Bloomberg/Reuters 5Y weekly beta</t>
        </is>
      </c>
    </row>
    <row r="9">
      <c r="A9" s="7" t="inlineStr">
        <is>
          <t>Equity Risk Premium ERP 股权风险溢价</t>
        </is>
      </c>
      <c r="B9" s="19" t="n"/>
      <c r="C9" s="19" t="n"/>
      <c r="D9" s="19" t="n"/>
      <c r="F9" s="20" t="n">
        <v>0.05</v>
      </c>
      <c r="G9" s="20" t="n">
        <v>0.052</v>
      </c>
      <c r="H9" s="20" t="n">
        <v>0.048</v>
      </c>
      <c r="I9" s="21">
        <f>CHOOSE(MATCH($B$2,{"Base","Bull","Bear"},0),F9,G9,H9)</f>
        <v/>
      </c>
      <c r="K9" s="22" t="inlineStr">
        <is>
          <t>Damodaran 2026 ERP estimate</t>
        </is>
      </c>
    </row>
    <row r="10">
      <c r="A10" s="7" t="inlineStr">
        <is>
          <t>Pre-tax Cost of Debt Kd 税前债务成本</t>
        </is>
      </c>
      <c r="B10" s="19" t="n"/>
      <c r="C10" s="19" t="n"/>
      <c r="D10" s="19" t="n"/>
      <c r="F10" s="20" t="n">
        <v>0.049</v>
      </c>
      <c r="G10" s="20" t="n">
        <v>0.048</v>
      </c>
      <c r="H10" s="20" t="n">
        <v>0.052</v>
      </c>
      <c r="I10" s="21">
        <f>CHOOSE(MATCH($B$2,{"Base","Bull","Bear"},0),F10,G10,H10)</f>
        <v/>
      </c>
      <c r="K10" s="22" t="inlineStr">
        <is>
          <t>参考Alphabet最新债券到期收益率</t>
        </is>
      </c>
    </row>
    <row r="11">
      <c r="A11" s="7" t="inlineStr">
        <is>
          <t>Effective Tax Rate 有效税率</t>
        </is>
      </c>
      <c r="B11" s="26" t="n">
        <v>0.139</v>
      </c>
      <c r="C11" s="26" t="n">
        <v>0.164</v>
      </c>
      <c r="D11" s="26" t="n">
        <v>0.168</v>
      </c>
      <c r="F11" s="27" t="n">
        <v>0.17</v>
      </c>
      <c r="G11" s="27" t="n">
        <v>0.165</v>
      </c>
      <c r="H11" s="27" t="n">
        <v>0.18</v>
      </c>
      <c r="I11" s="28">
        <f>CHOOSE(MATCH($B$2,{"Base","Bull","Bear"},0),F11,G11,H11)</f>
        <v/>
      </c>
      <c r="K11" s="22" t="inlineStr">
        <is>
          <t>2023-2025历史税率参考</t>
        </is>
      </c>
    </row>
    <row r="12">
      <c r="A12" s="7" t="inlineStr">
        <is>
          <t>Debt / Total Capital 债务占比</t>
        </is>
      </c>
      <c r="B12" s="19" t="n"/>
      <c r="C12" s="19" t="n"/>
      <c r="D12" s="19" t="n"/>
      <c r="F12" s="20" t="n">
        <v>0.03</v>
      </c>
      <c r="G12" s="20" t="n">
        <v>0.025</v>
      </c>
      <c r="H12" s="20" t="n">
        <v>0.035</v>
      </c>
      <c r="I12" s="21">
        <f>CHOOSE(MATCH($B$2,{"Base","Bull","Bear"},0),F12,G12,H12)</f>
        <v/>
      </c>
      <c r="K12" s="22" t="inlineStr">
        <is>
          <t>Alphabet资本结构以权益为主</t>
        </is>
      </c>
    </row>
    <row r="13">
      <c r="A13" s="7" t="inlineStr">
        <is>
          <t>Terminal Growth Rate g 永续增长率</t>
        </is>
      </c>
      <c r="B13" s="19" t="n"/>
      <c r="C13" s="19" t="n"/>
      <c r="D13" s="19" t="n"/>
      <c r="F13" s="20" t="n">
        <v>0.03</v>
      </c>
      <c r="G13" s="20" t="n">
        <v>0.033</v>
      </c>
      <c r="H13" s="20" t="n">
        <v>0.027</v>
      </c>
      <c r="I13" s="21">
        <f>CHOOSE(MATCH($B$2,{"Base","Bull","Bear"},0),F13,G13,H13)</f>
        <v/>
      </c>
      <c r="K13" s="22" t="inlineStr">
        <is>
          <t>约=长期GDP增长+通胀</t>
        </is>
      </c>
    </row>
    <row r="15">
      <c r="A15" s="14" t="inlineStr">
        <is>
          <t>Derived WACC 推导的WACC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7" t="inlineStr">
        <is>
          <t>Ke = Rf + Beta × ERP 股权成本</t>
        </is>
      </c>
      <c r="I16" s="29">
        <f>I7+I8*I9</f>
        <v/>
      </c>
    </row>
    <row r="17">
      <c r="A17" s="7" t="inlineStr">
        <is>
          <t>After-tax Kd 税后债务成本</t>
        </is>
      </c>
      <c r="I17" s="29">
        <f>I10*(1-I11)</f>
        <v/>
      </c>
    </row>
    <row r="18">
      <c r="A18" s="7" t="inlineStr">
        <is>
          <t>WACC 加权平均资本成本</t>
        </is>
      </c>
      <c r="I18" s="30">
        <f>(1-I12)*I16+I12*I17</f>
        <v/>
      </c>
    </row>
    <row r="20">
      <c r="A20" s="14" t="inlineStr">
        <is>
          <t>Valuation Bridge 估值桥接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7" t="inlineStr">
        <is>
          <t>Cash &amp; Marketable Securities 现金及有价证券 (mm)</t>
        </is>
      </c>
      <c r="B21" s="31" t="n">
        <v>110916</v>
      </c>
      <c r="C21" s="31" t="n">
        <v>95657</v>
      </c>
      <c r="D21" s="31" t="n">
        <v>126843</v>
      </c>
      <c r="F21" s="32" t="n">
        <v>126843</v>
      </c>
      <c r="G21" s="32" t="n">
        <v>126843</v>
      </c>
      <c r="H21" s="32" t="n">
        <v>126843</v>
      </c>
      <c r="I21" s="33">
        <f>CHOOSE(MATCH($B$2,{"Base","Bull","Bear"},0),F21,G21,H21)</f>
        <v/>
      </c>
      <c r="K21" s="22" t="inlineStr">
        <is>
          <t>年末现金+短期证券合计</t>
        </is>
      </c>
    </row>
    <row r="22">
      <c r="A22" s="7" t="inlineStr">
        <is>
          <t>Total Debt 总债务 (mm)</t>
        </is>
      </c>
      <c r="B22" s="31" t="n">
        <v>12887</v>
      </c>
      <c r="C22" s="31" t="n">
        <v>10883</v>
      </c>
      <c r="D22" s="31" t="n">
        <v>46547</v>
      </c>
      <c r="F22" s="32" t="n">
        <v>46547</v>
      </c>
      <c r="G22" s="32" t="n">
        <v>46547</v>
      </c>
      <c r="H22" s="32" t="n">
        <v>46547</v>
      </c>
      <c r="I22" s="33">
        <f>CHOOSE(MATCH($B$2,{"Base","Bull","Bear"},0),F22,G22,H22)</f>
        <v/>
      </c>
      <c r="K22" s="22" t="inlineStr">
        <is>
          <t>短期+长期债务</t>
        </is>
      </c>
    </row>
    <row r="23">
      <c r="A23" s="7" t="inlineStr">
        <is>
          <t>Diluted Shares 稀释股数 (mm)</t>
        </is>
      </c>
      <c r="B23" s="31" t="n">
        <v>12722</v>
      </c>
      <c r="C23" s="31" t="n">
        <v>12447</v>
      </c>
      <c r="D23" s="31" t="n">
        <v>12230</v>
      </c>
      <c r="F23" s="32" t="n">
        <v>12230</v>
      </c>
      <c r="G23" s="32" t="n">
        <v>12230</v>
      </c>
      <c r="H23" s="32" t="n">
        <v>12230</v>
      </c>
      <c r="I23" s="33">
        <f>CHOOSE(MATCH($B$2,{"Base","Bull","Bear"},0),F23,G23,H23)</f>
        <v/>
      </c>
      <c r="K23" s="22" t="inlineStr">
        <is>
          <t>Source: 10-K p.49</t>
        </is>
      </c>
    </row>
    <row r="25">
      <c r="A25" s="14" t="inlineStr">
        <is>
          <t>Revenue Growth by Segment 分部收入增长率 (Base块)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34" t="inlineStr">
        <is>
          <t>Segment</t>
        </is>
      </c>
      <c r="B26" s="6" t="inlineStr">
        <is>
          <t>2023A</t>
        </is>
      </c>
      <c r="C26" s="6" t="inlineStr">
        <is>
          <t>2024A</t>
        </is>
      </c>
      <c r="D26" s="6" t="inlineStr">
        <is>
          <t>2025A</t>
        </is>
      </c>
      <c r="E26" t="inlineStr"/>
      <c r="F26" s="6" t="inlineStr">
        <is>
          <t>2026E</t>
        </is>
      </c>
      <c r="G26" s="6" t="inlineStr">
        <is>
          <t>2027E</t>
        </is>
      </c>
      <c r="H26" s="6" t="inlineStr">
        <is>
          <t>2028E</t>
        </is>
      </c>
      <c r="I26" s="6" t="inlineStr">
        <is>
          <t>2029E</t>
        </is>
      </c>
      <c r="J26" s="6" t="inlineStr">
        <is>
          <t>2030E</t>
        </is>
      </c>
    </row>
    <row r="27">
      <c r="A27" s="7" t="inlineStr">
        <is>
          <t>Google Search &amp; other</t>
        </is>
      </c>
      <c r="C27" s="35" t="n">
        <v>0.1316951660544012</v>
      </c>
      <c r="D27" s="35" t="n">
        <v>0.1335191131035318</v>
      </c>
      <c r="F27" s="27" t="n">
        <v>0.12</v>
      </c>
      <c r="G27" s="27" t="n">
        <v>0.1</v>
      </c>
      <c r="H27" s="27" t="n">
        <v>0.09</v>
      </c>
      <c r="I27" s="27" t="n">
        <v>0.08</v>
      </c>
      <c r="J27" s="27" t="n">
        <v>0.07000000000000001</v>
      </c>
      <c r="K27" s="22" t="inlineStr">
        <is>
          <t>搜索广告核心引擎</t>
        </is>
      </c>
    </row>
    <row r="28">
      <c r="A28" s="7" t="inlineStr">
        <is>
          <t>YouTube ads</t>
        </is>
      </c>
      <c r="C28" s="35" t="n">
        <v>0.1471596318629007</v>
      </c>
      <c r="D28" s="35" t="n">
        <v>0.1167455113840705</v>
      </c>
      <c r="F28" s="27" t="n">
        <v>0.14</v>
      </c>
      <c r="G28" s="27" t="n">
        <v>0.12</v>
      </c>
      <c r="H28" s="27" t="n">
        <v>0.1</v>
      </c>
      <c r="I28" s="27" t="n">
        <v>0.09</v>
      </c>
      <c r="J28" s="27" t="n">
        <v>0.08</v>
      </c>
      <c r="K28" s="22" t="inlineStr">
        <is>
          <t>AI-driven Shorts增长</t>
        </is>
      </c>
    </row>
    <row r="29">
      <c r="A29" s="7" t="inlineStr">
        <is>
          <t>Google Network</t>
        </is>
      </c>
      <c r="C29" s="35" t="n">
        <v>-0.03043561573837505</v>
      </c>
      <c r="D29" s="35" t="n">
        <v>-0.01867650449619551</v>
      </c>
      <c r="F29" s="27" t="n">
        <v>-0.02</v>
      </c>
      <c r="G29" s="27" t="n">
        <v>-0.02</v>
      </c>
      <c r="H29" s="27" t="n">
        <v>-0.01</v>
      </c>
      <c r="I29" s="27" t="n">
        <v>-0.01</v>
      </c>
      <c r="J29" s="27" t="n">
        <v>0</v>
      </c>
      <c r="K29" s="22" t="inlineStr">
        <is>
          <t>持续缩减</t>
        </is>
      </c>
    </row>
    <row r="30">
      <c r="A30" s="7" t="inlineStr">
        <is>
          <t>Subs, Platforms &amp; Devices</t>
        </is>
      </c>
      <c r="C30" s="35" t="n">
        <v>0.1629381918819188</v>
      </c>
      <c r="D30" s="35" t="n">
        <v>0.1906296479920675</v>
      </c>
      <c r="F30" s="27" t="n">
        <v>0.18</v>
      </c>
      <c r="G30" s="27" t="n">
        <v>0.15</v>
      </c>
      <c r="H30" s="27" t="n">
        <v>0.13</v>
      </c>
      <c r="I30" s="27" t="n">
        <v>0.11</v>
      </c>
      <c r="J30" s="27" t="n">
        <v>0.09</v>
      </c>
      <c r="K30" s="22" t="inlineStr">
        <is>
          <t>YouTube Premium/硬件增长</t>
        </is>
      </c>
    </row>
    <row r="31">
      <c r="A31" s="7" t="inlineStr">
        <is>
          <t>Google Cloud</t>
        </is>
      </c>
      <c r="C31" s="35" t="n">
        <v>0.3064857350096712</v>
      </c>
      <c r="D31" s="35" t="n">
        <v>0.3580004163871475</v>
      </c>
      <c r="F31" s="27" t="n">
        <v>0.3</v>
      </c>
      <c r="G31" s="27" t="n">
        <v>0.25</v>
      </c>
      <c r="H31" s="27" t="n">
        <v>0.22</v>
      </c>
      <c r="I31" s="27" t="n">
        <v>0.18</v>
      </c>
      <c r="J31" s="27" t="n">
        <v>0.15</v>
      </c>
      <c r="K31" s="22" t="inlineStr">
        <is>
          <t>AI Cloud高增长引擎</t>
        </is>
      </c>
    </row>
    <row r="32">
      <c r="A32" s="7" t="inlineStr">
        <is>
          <t>Other Bets</t>
        </is>
      </c>
      <c r="C32" s="35" t="n">
        <v>0.07924034053700058</v>
      </c>
      <c r="D32" s="35" t="n">
        <v>-0.06735436893203883</v>
      </c>
      <c r="F32" s="27" t="n">
        <v>0.1</v>
      </c>
      <c r="G32" s="27" t="n">
        <v>0.15</v>
      </c>
      <c r="H32" s="27" t="n">
        <v>0.15</v>
      </c>
      <c r="I32" s="27" t="n">
        <v>0.15</v>
      </c>
      <c r="J32" s="27" t="n">
        <v>0.1</v>
      </c>
      <c r="K32" s="22" t="inlineStr">
        <is>
          <t>Waymo等前沿业务</t>
        </is>
      </c>
    </row>
    <row r="34">
      <c r="A34" s="14" t="inlineStr">
        <is>
          <t>Revenue Growth - Bull Case 乐观情景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7" t="inlineStr">
        <is>
          <t>Google Search &amp; other</t>
        </is>
      </c>
      <c r="F35" s="27" t="n">
        <v>0.15</v>
      </c>
      <c r="G35" s="27" t="n">
        <v>0.13</v>
      </c>
      <c r="H35" s="27" t="n">
        <v>0.11</v>
      </c>
      <c r="I35" s="27" t="n">
        <v>0.1</v>
      </c>
      <c r="J35" s="27" t="n">
        <v>0.09</v>
      </c>
    </row>
    <row r="36">
      <c r="A36" s="7" t="inlineStr">
        <is>
          <t>YouTube ads</t>
        </is>
      </c>
      <c r="F36" s="27" t="n">
        <v>0.18</v>
      </c>
      <c r="G36" s="27" t="n">
        <v>0.15</v>
      </c>
      <c r="H36" s="27" t="n">
        <v>0.13</v>
      </c>
      <c r="I36" s="27" t="n">
        <v>0.11</v>
      </c>
      <c r="J36" s="27" t="n">
        <v>0.1</v>
      </c>
    </row>
    <row r="37">
      <c r="A37" s="7" t="inlineStr">
        <is>
          <t>Google Network</t>
        </is>
      </c>
      <c r="F37" s="27" t="n">
        <v>-0.01</v>
      </c>
      <c r="G37" s="27" t="n">
        <v>0</v>
      </c>
      <c r="H37" s="27" t="n">
        <v>0</v>
      </c>
      <c r="I37" s="27" t="n">
        <v>0.01</v>
      </c>
      <c r="J37" s="27" t="n">
        <v>0.01</v>
      </c>
    </row>
    <row r="38">
      <c r="A38" s="7" t="inlineStr">
        <is>
          <t>Subs, Platforms &amp; Devices</t>
        </is>
      </c>
      <c r="F38" s="27" t="n">
        <v>0.22</v>
      </c>
      <c r="G38" s="27" t="n">
        <v>0.18</v>
      </c>
      <c r="H38" s="27" t="n">
        <v>0.15</v>
      </c>
      <c r="I38" s="27" t="n">
        <v>0.13</v>
      </c>
      <c r="J38" s="27" t="n">
        <v>0.11</v>
      </c>
    </row>
    <row r="39">
      <c r="A39" s="7" t="inlineStr">
        <is>
          <t>Google Cloud</t>
        </is>
      </c>
      <c r="F39" s="27" t="n">
        <v>0.38</v>
      </c>
      <c r="G39" s="27" t="n">
        <v>0.3</v>
      </c>
      <c r="H39" s="27" t="n">
        <v>0.25</v>
      </c>
      <c r="I39" s="27" t="n">
        <v>0.2</v>
      </c>
      <c r="J39" s="27" t="n">
        <v>0.17</v>
      </c>
    </row>
    <row r="40">
      <c r="A40" s="7" t="inlineStr">
        <is>
          <t>Other Bets</t>
        </is>
      </c>
      <c r="F40" s="27" t="n">
        <v>0.15</v>
      </c>
      <c r="G40" s="27" t="n">
        <v>0.2</v>
      </c>
      <c r="H40" s="27" t="n">
        <v>0.2</v>
      </c>
      <c r="I40" s="27" t="n">
        <v>0.2</v>
      </c>
      <c r="J40" s="27" t="n">
        <v>0.15</v>
      </c>
    </row>
    <row r="42">
      <c r="A42" s="14" t="inlineStr">
        <is>
          <t>Revenue Growth - Bear Case 悲观情景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7" t="inlineStr">
        <is>
          <t>Google Search &amp; other</t>
        </is>
      </c>
      <c r="F43" s="27" t="n">
        <v>0.08</v>
      </c>
      <c r="G43" s="27" t="n">
        <v>0.07000000000000001</v>
      </c>
      <c r="H43" s="27" t="n">
        <v>0.06</v>
      </c>
      <c r="I43" s="27" t="n">
        <v>0.05</v>
      </c>
      <c r="J43" s="27" t="n">
        <v>0.04</v>
      </c>
    </row>
    <row r="44">
      <c r="A44" s="7" t="inlineStr">
        <is>
          <t>YouTube ads</t>
        </is>
      </c>
      <c r="F44" s="27" t="n">
        <v>0.08</v>
      </c>
      <c r="G44" s="27" t="n">
        <v>0.07000000000000001</v>
      </c>
      <c r="H44" s="27" t="n">
        <v>0.06</v>
      </c>
      <c r="I44" s="27" t="n">
        <v>0.05</v>
      </c>
      <c r="J44" s="27" t="n">
        <v>0.04</v>
      </c>
    </row>
    <row r="45">
      <c r="A45" s="7" t="inlineStr">
        <is>
          <t>Google Network</t>
        </is>
      </c>
      <c r="F45" s="27" t="n">
        <v>-0.05</v>
      </c>
      <c r="G45" s="27" t="n">
        <v>-0.04</v>
      </c>
      <c r="H45" s="27" t="n">
        <v>-0.03</v>
      </c>
      <c r="I45" s="27" t="n">
        <v>-0.03</v>
      </c>
      <c r="J45" s="27" t="n">
        <v>-0.02</v>
      </c>
    </row>
    <row r="46">
      <c r="A46" s="7" t="inlineStr">
        <is>
          <t>Subs, Platforms &amp; Devices</t>
        </is>
      </c>
      <c r="F46" s="27" t="n">
        <v>0.12</v>
      </c>
      <c r="G46" s="27" t="n">
        <v>0.1</v>
      </c>
      <c r="H46" s="27" t="n">
        <v>0.09</v>
      </c>
      <c r="I46" s="27" t="n">
        <v>0.08</v>
      </c>
      <c r="J46" s="27" t="n">
        <v>0.07000000000000001</v>
      </c>
    </row>
    <row r="47">
      <c r="A47" s="7" t="inlineStr">
        <is>
          <t>Google Cloud</t>
        </is>
      </c>
      <c r="F47" s="27" t="n">
        <v>0.22</v>
      </c>
      <c r="G47" s="27" t="n">
        <v>0.18</v>
      </c>
      <c r="H47" s="27" t="n">
        <v>0.15</v>
      </c>
      <c r="I47" s="27" t="n">
        <v>0.12</v>
      </c>
      <c r="J47" s="27" t="n">
        <v>0.1</v>
      </c>
    </row>
    <row r="48">
      <c r="A48" s="7" t="inlineStr">
        <is>
          <t>Other Bets</t>
        </is>
      </c>
      <c r="F48" s="27" t="n">
        <v>0</v>
      </c>
      <c r="G48" s="27" t="n">
        <v>0.05</v>
      </c>
      <c r="H48" s="27" t="n">
        <v>0.05</v>
      </c>
      <c r="I48" s="27" t="n">
        <v>0.05</v>
      </c>
      <c r="J48" s="27" t="n">
        <v>0.05</v>
      </c>
    </row>
    <row r="50">
      <c r="A50" s="14" t="inlineStr">
        <is>
          <t>Segment Cost Structure 分部成本结构 (with Historical)</t>
        </is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6" t="inlineStr">
        <is>
          <t>Cost Item 成本项</t>
        </is>
      </c>
      <c r="B51" s="6" t="inlineStr">
        <is>
          <t>2023A</t>
        </is>
      </c>
      <c r="C51" s="6" t="inlineStr">
        <is>
          <t>2024A</t>
        </is>
      </c>
      <c r="D51" s="6" t="inlineStr">
        <is>
          <t>2025A</t>
        </is>
      </c>
      <c r="E51" s="6" t="inlineStr"/>
      <c r="F51" s="6" t="inlineStr">
        <is>
          <t>Base</t>
        </is>
      </c>
      <c r="G51" s="6" t="inlineStr">
        <is>
          <t>Bull</t>
        </is>
      </c>
      <c r="H51" s="6" t="inlineStr">
        <is>
          <t>Bear</t>
        </is>
      </c>
      <c r="I51" s="6" t="inlineStr">
        <is>
          <t>Selected</t>
        </is>
      </c>
      <c r="J51" s="6" t="inlineStr"/>
      <c r="K51" s="6" t="inlineStr">
        <is>
          <t>Notes</t>
        </is>
      </c>
    </row>
    <row r="52">
      <c r="A52" s="7" t="inlineStr">
        <is>
          <t>Services: Emp Comp % 员工薪酬占比</t>
        </is>
      </c>
      <c r="B52" s="26" t="n">
        <v>0.17</v>
      </c>
      <c r="C52" s="26" t="n">
        <v>0.146</v>
      </c>
      <c r="D52" s="26" t="n">
        <v>0.132</v>
      </c>
      <c r="F52" s="27" t="n">
        <v>0.128</v>
      </c>
      <c r="G52" s="27" t="n">
        <v>0.125</v>
      </c>
      <c r="H52" s="27" t="n">
        <v>0.135</v>
      </c>
      <c r="I52" s="28">
        <f>CHOOSE(MATCH($B$2,{"Base","Bull","Bear"},0),F52,G52,H52)</f>
        <v/>
      </c>
      <c r="K52" s="22" t="inlineStr">
        <is>
          <t>薪酬含SBC+福利，Note15</t>
        </is>
      </c>
    </row>
    <row r="53">
      <c r="A53" s="7" t="inlineStr">
        <is>
          <t>Services: Other Costs % 其他费用占比</t>
        </is>
      </c>
      <c r="B53" s="26" t="n">
        <v>0.479</v>
      </c>
      <c r="C53" s="26" t="n">
        <v>0.456</v>
      </c>
      <c r="D53" s="26" t="n">
        <v>0.461</v>
      </c>
      <c r="F53" s="27" t="n">
        <v>0.455</v>
      </c>
      <c r="G53" s="27" t="n">
        <v>0.448</v>
      </c>
      <c r="H53" s="27" t="n">
        <v>0.468</v>
      </c>
      <c r="I53" s="28">
        <f>CHOOSE(MATCH($B$2,{"Base","Bull","Bear"},0),F53,G53,H53)</f>
        <v/>
      </c>
      <c r="K53" s="22" t="inlineStr">
        <is>
          <t>含TAC/内容采购/基础设施</t>
        </is>
      </c>
    </row>
    <row r="54">
      <c r="A54" s="7" t="inlineStr">
        <is>
          <t>Cloud: Emp Comp % 员工薪酬占比</t>
        </is>
      </c>
      <c r="B54" s="26" t="n">
        <v>0.576</v>
      </c>
      <c r="C54" s="26" t="n">
        <v>0.475</v>
      </c>
      <c r="D54" s="26" t="n">
        <v>0.376</v>
      </c>
      <c r="F54" s="27" t="n">
        <v>0.34</v>
      </c>
      <c r="G54" s="27" t="n">
        <v>0.33</v>
      </c>
      <c r="H54" s="27" t="n">
        <v>0.36</v>
      </c>
      <c r="I54" s="28">
        <f>CHOOSE(MATCH($B$2,{"Base","Bull","Bear"},0),F54,G54,H54)</f>
        <v/>
      </c>
      <c r="K54" s="22" t="inlineStr">
        <is>
          <t>Cloud人效持续改善</t>
        </is>
      </c>
    </row>
    <row r="55">
      <c r="A55" s="7" t="inlineStr">
        <is>
          <t>Cloud: Other Costs % 其他费用占比</t>
        </is>
      </c>
      <c r="B55" s="26" t="n">
        <v>0.372</v>
      </c>
      <c r="C55" s="26" t="n">
        <v>0.384</v>
      </c>
      <c r="D55" s="26" t="n">
        <v>0.387</v>
      </c>
      <c r="F55" s="27" t="n">
        <v>0.38</v>
      </c>
      <c r="G55" s="27" t="n">
        <v>0.37</v>
      </c>
      <c r="H55" s="27" t="n">
        <v>0.395</v>
      </c>
      <c r="I55" s="28">
        <f>CHOOSE(MATCH($B$2,{"Base","Bull","Bear"},0),F55,G55,H55)</f>
        <v/>
      </c>
      <c r="K55" s="22" t="inlineStr">
        <is>
          <t>基础设施和第三方服务</t>
        </is>
      </c>
    </row>
    <row r="56">
      <c r="A56" s="7" t="inlineStr">
        <is>
          <t>Other Bets: Op Margin 经营利润率</t>
        </is>
      </c>
      <c r="B56" s="26" t="n">
        <v>-2.682</v>
      </c>
      <c r="C56" s="26" t="n">
        <v>-2.696</v>
      </c>
      <c r="D56" s="26" t="n">
        <v>-4.889</v>
      </c>
      <c r="F56" s="27" t="n">
        <v>-3.5</v>
      </c>
      <c r="G56" s="27" t="n">
        <v>-3</v>
      </c>
      <c r="H56" s="27" t="n">
        <v>-4.5</v>
      </c>
      <c r="I56" s="28">
        <f>CHOOSE(MATCH($B$2,{"Base","Bull","Bear"},0),F56,G56,H56)</f>
        <v/>
      </c>
      <c r="K56" s="22" t="inlineStr">
        <is>
          <t>前沿业务持续亏损</t>
        </is>
      </c>
    </row>
    <row r="57">
      <c r="A57" s="7" t="inlineStr">
        <is>
          <t>Alphabet-level Costs 公司级费用 (mm)</t>
        </is>
      </c>
      <c r="B57" s="31" t="n">
        <v>9186</v>
      </c>
      <c r="C57" s="31" t="n">
        <v>10541</v>
      </c>
      <c r="D57" s="31" t="n">
        <v>16760</v>
      </c>
      <c r="F57" s="32" t="n">
        <v>18000</v>
      </c>
      <c r="G57" s="32" t="n">
        <v>17000</v>
      </c>
      <c r="H57" s="32" t="n">
        <v>20000</v>
      </c>
      <c r="I57" s="33">
        <f>CHOOSE(MATCH($B$2,{"Base","Bull","Bear"},0),F57,G57,H57)</f>
        <v/>
      </c>
      <c r="K57" s="22" t="inlineStr">
        <is>
          <t>未分配AI研发+企业费用</t>
        </is>
      </c>
    </row>
    <row r="59">
      <c r="A59" s="14" t="inlineStr">
        <is>
          <t>Consolidated Cost Structure 合并成本率</t>
        </is>
      </c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6" t="inlineStr">
        <is>
          <t>Cost Item</t>
        </is>
      </c>
      <c r="B60" s="6" t="inlineStr">
        <is>
          <t>2023A</t>
        </is>
      </c>
      <c r="C60" s="6" t="inlineStr">
        <is>
          <t>2024A</t>
        </is>
      </c>
      <c r="D60" s="6" t="inlineStr">
        <is>
          <t>2025A</t>
        </is>
      </c>
      <c r="E60" s="6" t="inlineStr"/>
      <c r="F60" s="6" t="inlineStr">
        <is>
          <t>Base</t>
        </is>
      </c>
      <c r="G60" s="6" t="inlineStr">
        <is>
          <t>Bull</t>
        </is>
      </c>
      <c r="H60" s="6" t="inlineStr">
        <is>
          <t>Bear</t>
        </is>
      </c>
      <c r="I60" s="6" t="inlineStr">
        <is>
          <t>Selected</t>
        </is>
      </c>
      <c r="J60" s="6" t="inlineStr"/>
      <c r="K60" s="6" t="inlineStr">
        <is>
          <t>Notes</t>
        </is>
      </c>
    </row>
    <row r="61">
      <c r="A61" s="7" t="inlineStr">
        <is>
          <t>TAC Rate 流量获取成本率 (% Ad Rev)</t>
        </is>
      </c>
      <c r="B61" s="26" t="n">
        <v>0.207</v>
      </c>
      <c r="C61" s="26" t="n">
        <v>0.207</v>
      </c>
      <c r="D61" s="26" t="n">
        <v>0.203</v>
      </c>
      <c r="F61" s="27" t="n">
        <v>0.2</v>
      </c>
      <c r="G61" s="27" t="n">
        <v>0.198</v>
      </c>
      <c r="H61" s="27" t="n">
        <v>0.208</v>
      </c>
      <c r="I61" s="28">
        <f>CHOOSE(MATCH($B$2,{"Base","Bull","Bear"},0),F61,G61,H61)</f>
        <v/>
      </c>
      <c r="K61" s="22" t="inlineStr">
        <is>
          <t>支付给合作伙伴的分成</t>
        </is>
      </c>
    </row>
    <row r="62">
      <c r="A62" s="7" t="inlineStr">
        <is>
          <t>Other COGS 其他营业成本 (% Total Rev)</t>
        </is>
      </c>
      <c r="B62" s="26" t="n">
        <v>0.273</v>
      </c>
      <c r="C62" s="26" t="n">
        <v>0.261</v>
      </c>
      <c r="D62" s="26" t="n">
        <v>0.255</v>
      </c>
      <c r="F62" s="27" t="n">
        <v>0.25</v>
      </c>
      <c r="G62" s="27" t="n">
        <v>0.245</v>
      </c>
      <c r="H62" s="27" t="n">
        <v>0.26</v>
      </c>
      <c r="I62" s="28">
        <f>CHOOSE(MATCH($B$2,{"Base","Bull","Bear"},0),F62,G62,H62)</f>
        <v/>
      </c>
      <c r="K62" s="22" t="inlineStr">
        <is>
          <t>基础设施折旧/内容/数据中心</t>
        </is>
      </c>
    </row>
    <row r="63">
      <c r="A63" s="7" t="inlineStr">
        <is>
          <t>R&amp;D 研发费用 (% Total Rev)</t>
        </is>
      </c>
      <c r="B63" s="26" t="n">
        <v>0.148</v>
      </c>
      <c r="C63" s="26" t="n">
        <v>0.141</v>
      </c>
      <c r="D63" s="26" t="n">
        <v>0.152</v>
      </c>
      <c r="F63" s="27" t="n">
        <v>0.145</v>
      </c>
      <c r="G63" s="27" t="n">
        <v>0.14</v>
      </c>
      <c r="H63" s="27" t="n">
        <v>0.155</v>
      </c>
      <c r="I63" s="28">
        <f>CHOOSE(MATCH($B$2,{"Base","Bull","Bear"},0),F63,G63,H63)</f>
        <v/>
      </c>
      <c r="K63" s="22" t="inlineStr">
        <is>
          <t>AI投入持续，但规模效应显现</t>
        </is>
      </c>
    </row>
    <row r="64">
      <c r="A64" s="7" t="inlineStr">
        <is>
          <t>S&amp;M 销售与市场 (% Total Rev)</t>
        </is>
      </c>
      <c r="B64" s="26" t="n">
        <v>0.091</v>
      </c>
      <c r="C64" s="26" t="n">
        <v>0.079</v>
      </c>
      <c r="D64" s="26" t="n">
        <v>0.07099999999999999</v>
      </c>
      <c r="F64" s="27" t="n">
        <v>0.068</v>
      </c>
      <c r="G64" s="27" t="n">
        <v>0.065</v>
      </c>
      <c r="H64" s="27" t="n">
        <v>0.074</v>
      </c>
      <c r="I64" s="28">
        <f>CHOOSE(MATCH($B$2,{"Base","Bull","Bear"},0),F64,G64,H64)</f>
        <v/>
      </c>
      <c r="K64" s="22" t="inlineStr">
        <is>
          <t>效率提升，销售费率下降</t>
        </is>
      </c>
    </row>
    <row r="65">
      <c r="A65" s="7" t="inlineStr">
        <is>
          <t>G&amp;A 管理费用 (% Total Rev)</t>
        </is>
      </c>
      <c r="B65" s="26" t="n">
        <v>0.053</v>
      </c>
      <c r="C65" s="26" t="n">
        <v>0.041</v>
      </c>
      <c r="D65" s="26" t="n">
        <v>0.053</v>
      </c>
      <c r="F65" s="27" t="n">
        <v>0.04</v>
      </c>
      <c r="G65" s="27" t="n">
        <v>0.038</v>
      </c>
      <c r="H65" s="27" t="n">
        <v>0.045</v>
      </c>
      <c r="I65" s="28">
        <f>CHOOSE(MATCH($B$2,{"Base","Bull","Bear"},0),F65,G65,H65)</f>
        <v/>
      </c>
      <c r="K65" s="22" t="inlineStr">
        <is>
          <t>2025含一次性诉讼，正常化后下降</t>
        </is>
      </c>
    </row>
    <row r="66">
      <c r="A66" s="7" t="inlineStr">
        <is>
          <t>D&amp;A 折旧摊销 (% Rev)</t>
        </is>
      </c>
      <c r="B66" s="26" t="n">
        <v>0.039</v>
      </c>
      <c r="C66" s="26" t="n">
        <v>0.044</v>
      </c>
      <c r="D66" s="26" t="n">
        <v>0.052</v>
      </c>
      <c r="F66" s="27" t="n">
        <v>0.055</v>
      </c>
      <c r="G66" s="27" t="n">
        <v>0.053</v>
      </c>
      <c r="H66" s="27" t="n">
        <v>0.058</v>
      </c>
      <c r="I66" s="28">
        <f>CHOOSE(MATCH($B$2,{"Base","Bull","Bear"},0),F66,G66,H66)</f>
        <v/>
      </c>
      <c r="K66" s="22" t="inlineStr">
        <is>
          <t>CapEx高增长推动D&amp;A上升</t>
        </is>
      </c>
    </row>
    <row r="67">
      <c r="A67" s="7" t="inlineStr">
        <is>
          <t>SBC 股权激励 (% Rev)</t>
        </is>
      </c>
      <c r="B67" s="26" t="n">
        <v>0.073</v>
      </c>
      <c r="C67" s="26" t="n">
        <v>0.065</v>
      </c>
      <c r="D67" s="26" t="n">
        <v>0.062</v>
      </c>
      <c r="F67" s="27" t="n">
        <v>0.058</v>
      </c>
      <c r="G67" s="27" t="n">
        <v>0.055</v>
      </c>
      <c r="H67" s="27" t="n">
        <v>0.063</v>
      </c>
      <c r="I67" s="28">
        <f>CHOOSE(MATCH($B$2,{"Base","Bull","Bear"},0),F67,G67,H67)</f>
        <v/>
      </c>
      <c r="K67" s="22" t="inlineStr">
        <is>
          <t>占比稳步下降</t>
        </is>
      </c>
    </row>
    <row r="68">
      <c r="A68" s="7" t="inlineStr">
        <is>
          <t>NWC 净营运资本变动 (% incr Rev)</t>
        </is>
      </c>
      <c r="B68" s="26" t="n"/>
      <c r="C68" s="26" t="n"/>
      <c r="D68" s="26" t="n"/>
      <c r="F68" s="27" t="n">
        <v>0.005</v>
      </c>
      <c r="G68" s="27" t="n">
        <v>0.004</v>
      </c>
      <c r="H68" s="27" t="n">
        <v>0.007</v>
      </c>
      <c r="I68" s="28">
        <f>CHOOSE(MATCH($B$2,{"Base","Bull","Bear"},0),F68,G68,H68)</f>
        <v/>
      </c>
      <c r="K68" s="22" t="inlineStr">
        <is>
          <t>科技公司NWC需求低</t>
        </is>
      </c>
    </row>
    <row r="70">
      <c r="A70" s="14" t="inlineStr">
        <is>
          <t>CapEx 资本支出 (USD mm) - 2026 per mgmt guidance ~$180B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6" t="inlineStr">
        <is>
          <t>Year</t>
        </is>
      </c>
      <c r="B71" s="6" t="inlineStr">
        <is>
          <t>2023A</t>
        </is>
      </c>
      <c r="C71" s="6" t="inlineStr">
        <is>
          <t>2024A</t>
        </is>
      </c>
      <c r="D71" s="6" t="inlineStr">
        <is>
          <t>2025A</t>
        </is>
      </c>
      <c r="E71" s="6" t="inlineStr"/>
      <c r="F71" s="6" t="inlineStr">
        <is>
          <t>Base</t>
        </is>
      </c>
      <c r="G71" s="6" t="inlineStr">
        <is>
          <t>Bull</t>
        </is>
      </c>
      <c r="H71" s="6" t="inlineStr">
        <is>
          <t>Bear</t>
        </is>
      </c>
      <c r="I71" s="6" t="inlineStr">
        <is>
          <t>Selected</t>
        </is>
      </c>
      <c r="J71" s="6" t="inlineStr"/>
      <c r="K71" s="6" t="inlineStr">
        <is>
          <t>Notes</t>
        </is>
      </c>
    </row>
    <row r="72">
      <c r="A72" s="7" t="inlineStr">
        <is>
          <t>2026E CapEx</t>
        </is>
      </c>
      <c r="B72" s="31" t="n">
        <v>32251</v>
      </c>
      <c r="C72" s="31" t="n">
        <v>52535</v>
      </c>
      <c r="D72" s="31" t="n">
        <v>91447</v>
      </c>
      <c r="F72" s="32" t="n">
        <v>180000</v>
      </c>
      <c r="G72" s="32" t="n">
        <v>185000</v>
      </c>
      <c r="H72" s="32" t="n">
        <v>175000</v>
      </c>
      <c r="I72" s="33">
        <f>CHOOSE(MATCH($B$2,{"Base","Bull","Bear"},0),F72,G72,H72)</f>
        <v/>
      </c>
      <c r="K72" s="22" t="inlineStr">
        <is>
          <t>Q4'25 Earnings: $75B/Q → ~$180B/yr</t>
        </is>
      </c>
    </row>
    <row r="73">
      <c r="A73" s="7" t="inlineStr">
        <is>
          <t>2027E CapEx</t>
        </is>
      </c>
      <c r="B73" s="31" t="n"/>
      <c r="C73" s="31" t="n"/>
      <c r="D73" s="31" t="n"/>
      <c r="F73" s="32" t="n">
        <v>160000</v>
      </c>
      <c r="G73" s="32" t="n">
        <v>170000</v>
      </c>
      <c r="H73" s="32" t="n">
        <v>155000</v>
      </c>
      <c r="I73" s="33">
        <f>CHOOSE(MATCH($B$2,{"Base","Bull","Bear"},0),F73,G73,H73)</f>
        <v/>
      </c>
      <c r="K73" s="22" t="inlineStr">
        <is>
          <t>AI投资高峰后逐步回落</t>
        </is>
      </c>
    </row>
    <row r="74">
      <c r="A74" s="7" t="inlineStr">
        <is>
          <t>2028E CapEx</t>
        </is>
      </c>
      <c r="B74" s="31" t="n"/>
      <c r="C74" s="31" t="n"/>
      <c r="D74" s="31" t="n"/>
      <c r="F74" s="32" t="n">
        <v>140000</v>
      </c>
      <c r="G74" s="32" t="n">
        <v>150000</v>
      </c>
      <c r="H74" s="32" t="n">
        <v>135000</v>
      </c>
      <c r="I74" s="33">
        <f>CHOOSE(MATCH($B$2,{"Base","Bull","Bear"},0),F74,G74,H74)</f>
        <v/>
      </c>
      <c r="K74" s="22" t="inlineStr">
        <is>
          <t>资本密集度开始降低</t>
        </is>
      </c>
    </row>
    <row r="75">
      <c r="A75" s="7" t="inlineStr">
        <is>
          <t>2029E CapEx</t>
        </is>
      </c>
      <c r="B75" s="31" t="n"/>
      <c r="C75" s="31" t="n"/>
      <c r="D75" s="31" t="n"/>
      <c r="F75" s="32" t="n">
        <v>120000</v>
      </c>
      <c r="G75" s="32" t="n">
        <v>130000</v>
      </c>
      <c r="H75" s="32" t="n">
        <v>115000</v>
      </c>
      <c r="I75" s="33">
        <f>CHOOSE(MATCH($B$2,{"Base","Bull","Bear"},0),F75,G75,H75)</f>
        <v/>
      </c>
      <c r="K75" s="22" t="inlineStr">
        <is>
          <t>CapEx周期转为维护型</t>
        </is>
      </c>
    </row>
    <row r="76">
      <c r="A76" s="7" t="inlineStr">
        <is>
          <t>2030E CapEx</t>
        </is>
      </c>
      <c r="B76" s="31" t="n"/>
      <c r="C76" s="31" t="n"/>
      <c r="D76" s="31" t="n"/>
      <c r="F76" s="32" t="n">
        <v>105000</v>
      </c>
      <c r="G76" s="32" t="n">
        <v>115000</v>
      </c>
      <c r="H76" s="32" t="n">
        <v>100000</v>
      </c>
      <c r="I76" s="33">
        <f>CHOOSE(MATCH($B$2,{"Base","Bull","Bear"},0),F76,G76,H76)</f>
        <v/>
      </c>
      <c r="K76" s="22" t="inlineStr">
        <is>
          <t>稳态CapEx水平</t>
        </is>
      </c>
    </row>
    <row r="78">
      <c r="A78" s="14" t="inlineStr">
        <is>
          <t>Capital Return 资本回报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7" t="inlineStr">
        <is>
          <t>Annual Buyback 年度回购 (mm)</t>
        </is>
      </c>
      <c r="B79" s="31" t="n">
        <v>62184</v>
      </c>
      <c r="C79" s="31" t="n">
        <v>62047</v>
      </c>
      <c r="D79" s="31" t="n">
        <v>45398</v>
      </c>
      <c r="F79" s="32" t="n">
        <v>50000</v>
      </c>
      <c r="G79" s="32" t="n">
        <v>55000</v>
      </c>
      <c r="H79" s="32" t="n">
        <v>40000</v>
      </c>
      <c r="I79" s="33">
        <f>CHOOSE(MATCH($B$2,{"Base","Bull","Bear"},0),F79,G79,H79)</f>
        <v/>
      </c>
      <c r="K79" s="22" t="inlineStr">
        <is>
          <t>2025因发债减少回购，2026恢复</t>
        </is>
      </c>
    </row>
    <row r="80">
      <c r="A80" s="7" t="inlineStr">
        <is>
          <t>Dividend per Share 每股股息 (annual)</t>
        </is>
      </c>
      <c r="B80" s="36" t="n">
        <v>0</v>
      </c>
      <c r="C80" s="36" t="n">
        <v>0.6</v>
      </c>
      <c r="D80" s="36" t="n">
        <v>0.83</v>
      </c>
      <c r="F80" s="37" t="n">
        <v>0.88</v>
      </c>
      <c r="G80" s="37" t="n">
        <v>0.92</v>
      </c>
      <c r="H80" s="37" t="n">
        <v>0.84</v>
      </c>
      <c r="I80" s="38">
        <f>CHOOSE(MATCH($B$2,{"Base","Bull","Bear"},0),F80,G80,H80)</f>
        <v/>
      </c>
      <c r="K80" s="22" t="inlineStr">
        <is>
          <t>2024年首次派息$0.60/share</t>
        </is>
      </c>
    </row>
    <row r="82">
      <c r="A82" s="14" t="inlineStr">
        <is>
          <t>Balance Sheet Assumptions 资产负债表假设</t>
        </is>
      </c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6" t="inlineStr">
        <is>
          <t>Item</t>
        </is>
      </c>
      <c r="B83" s="6" t="inlineStr">
        <is>
          <t>2023A</t>
        </is>
      </c>
      <c r="C83" s="6" t="inlineStr">
        <is>
          <t>2024A</t>
        </is>
      </c>
      <c r="D83" s="6" t="inlineStr">
        <is>
          <t>2025A</t>
        </is>
      </c>
      <c r="E83" s="6" t="inlineStr"/>
      <c r="F83" s="6" t="inlineStr">
        <is>
          <t>Base</t>
        </is>
      </c>
      <c r="G83" s="6" t="inlineStr">
        <is>
          <t>Bull</t>
        </is>
      </c>
      <c r="H83" s="6" t="inlineStr">
        <is>
          <t>Bear</t>
        </is>
      </c>
      <c r="I83" s="6" t="inlineStr">
        <is>
          <t>Selected</t>
        </is>
      </c>
      <c r="J83" s="6" t="inlineStr"/>
      <c r="K83" s="6" t="inlineStr">
        <is>
          <t>Notes</t>
        </is>
      </c>
    </row>
    <row r="84">
      <c r="A84" s="7" t="inlineStr">
        <is>
          <t>AR Days 应收账款周转天数</t>
        </is>
      </c>
      <c r="B84" s="39" t="n">
        <v>47.8</v>
      </c>
      <c r="C84" s="39" t="n">
        <v>54.6</v>
      </c>
      <c r="D84" s="39" t="n">
        <v>57</v>
      </c>
      <c r="F84" s="40" t="n">
        <v>55</v>
      </c>
      <c r="G84" s="40" t="n">
        <v>53</v>
      </c>
      <c r="H84" s="40" t="n">
        <v>58</v>
      </c>
      <c r="I84" s="41">
        <f>CHOOSE(MATCH($B$2,{"Base","Bull","Bear"},0),F84,G84,H84)</f>
        <v/>
      </c>
      <c r="K84" s="22" t="inlineStr">
        <is>
          <t>AR/Revenue×365</t>
        </is>
      </c>
    </row>
    <row r="85">
      <c r="A85" s="7" t="inlineStr">
        <is>
          <t>AP Days 应付账款周转天数 (of COGS)</t>
        </is>
      </c>
      <c r="B85" s="39" t="n">
        <v>19.4</v>
      </c>
      <c r="C85" s="39" t="n">
        <v>19.9</v>
      </c>
      <c r="D85" s="39" t="n">
        <v>27.4</v>
      </c>
      <c r="F85" s="40" t="n">
        <v>26</v>
      </c>
      <c r="G85" s="40" t="n">
        <v>27</v>
      </c>
      <c r="H85" s="40" t="n">
        <v>24</v>
      </c>
      <c r="I85" s="41">
        <f>CHOOSE(MATCH($B$2,{"Base","Bull","Bear"},0),F85,G85,H85)</f>
        <v/>
      </c>
      <c r="K85" s="22" t="inlineStr">
        <is>
          <t>AP/COGS×365</t>
        </is>
      </c>
    </row>
    <row r="86">
      <c r="A86" s="7" t="inlineStr">
        <is>
          <t>AccComp 应计薪酬 (% Rev)</t>
        </is>
      </c>
      <c r="B86" s="26" t="n">
        <v>0.046</v>
      </c>
      <c r="C86" s="26" t="n">
        <v>0.043</v>
      </c>
      <c r="D86" s="26" t="n">
        <v>0.044</v>
      </c>
      <c r="F86" s="27" t="n">
        <v>0.043</v>
      </c>
      <c r="G86" s="27" t="n">
        <v>0.042</v>
      </c>
      <c r="H86" s="27" t="n">
        <v>0.045</v>
      </c>
      <c r="I86" s="28">
        <f>CHOOSE(MATCH($B$2,{"Base","Bull","Bear"},0),F86,G86,H86)</f>
        <v/>
      </c>
      <c r="K86" s="22" t="inlineStr">
        <is>
          <t>员工薪酬应计占收入比</t>
        </is>
      </c>
    </row>
    <row r="87">
      <c r="A87" s="7" t="inlineStr">
        <is>
          <t>AccExp+Other 应计费用 (% Rev)</t>
        </is>
      </c>
      <c r="B87" s="26" t="n">
        <v>0.14</v>
      </c>
      <c r="C87" s="26" t="n">
        <v>0.146</v>
      </c>
      <c r="D87" s="26" t="n">
        <v>0.138</v>
      </c>
      <c r="F87" s="27" t="n">
        <v>0.135</v>
      </c>
      <c r="G87" s="27" t="n">
        <v>0.13</v>
      </c>
      <c r="H87" s="27" t="n">
        <v>0.142</v>
      </c>
      <c r="I87" s="28">
        <f>CHOOSE(MATCH($B$2,{"Base","Bull","Bear"},0),F87,G87,H87)</f>
        <v/>
      </c>
      <c r="K87" s="22" t="inlineStr">
        <is>
          <t>运营应计费用占收入比</t>
        </is>
      </c>
    </row>
    <row r="88">
      <c r="A88" s="7" t="inlineStr">
        <is>
          <t>RevShare 应计收入分成 (% Ad Rev)</t>
        </is>
      </c>
      <c r="B88" s="26" t="n">
        <v>0.037</v>
      </c>
      <c r="C88" s="26" t="n">
        <v>0.037</v>
      </c>
      <c r="D88" s="26" t="n">
        <v>0.037</v>
      </c>
      <c r="F88" s="27" t="n">
        <v>0.036</v>
      </c>
      <c r="G88" s="27" t="n">
        <v>0.035</v>
      </c>
      <c r="H88" s="27" t="n">
        <v>0.038</v>
      </c>
      <c r="I88" s="28">
        <f>CHOOSE(MATCH($B$2,{"Base","Bull","Bear"},0),F88,G88,H88)</f>
        <v/>
      </c>
      <c r="K88" s="22" t="inlineStr">
        <is>
          <t>广告收入分成应计</t>
        </is>
      </c>
    </row>
    <row r="89">
      <c r="A89" s="7" t="inlineStr">
        <is>
          <t>DefRev 递延收入增速 %</t>
        </is>
      </c>
      <c r="B89" s="26" t="n"/>
      <c r="C89" s="26" t="n">
        <v>0.261</v>
      </c>
      <c r="D89" s="26" t="n">
        <v>0.306</v>
      </c>
      <c r="F89" s="27" t="n">
        <v>0.15</v>
      </c>
      <c r="G89" s="27" t="n">
        <v>0.18</v>
      </c>
      <c r="H89" s="27" t="n">
        <v>0.12</v>
      </c>
      <c r="I89" s="28">
        <f>CHOOSE(MATCH($B$2,{"Base","Bull","Bear"},0),F89,G89,H89)</f>
        <v/>
      </c>
      <c r="K89" s="22" t="inlineStr">
        <is>
          <t>Cloud预付合同增长</t>
        </is>
      </c>
    </row>
    <row r="90">
      <c r="A90" s="7" t="inlineStr">
        <is>
          <t>OpLease 经营租赁资产增速 %</t>
        </is>
      </c>
      <c r="B90" s="26" t="n"/>
      <c r="C90" s="26" t="n">
        <v>-0.047</v>
      </c>
      <c r="D90" s="26" t="n">
        <v>0.12</v>
      </c>
      <c r="F90" s="27" t="n">
        <v>0.05</v>
      </c>
      <c r="G90" s="27" t="n">
        <v>0.06</v>
      </c>
      <c r="H90" s="27" t="n">
        <v>0.03</v>
      </c>
      <c r="I90" s="28">
        <f>CHOOSE(MATCH($B$2,{"Base","Bull","Bear"},0),F90,G90,H90)</f>
        <v/>
      </c>
      <c r="K90" s="22" t="inlineStr">
        <is>
          <t>办公/数据中心租赁</t>
        </is>
      </c>
    </row>
    <row r="91">
      <c r="A91" s="7" t="inlineStr">
        <is>
          <t>NonMktSec 非上市证券增速 %</t>
        </is>
      </c>
      <c r="B91" s="26" t="n"/>
      <c r="C91" s="26" t="n">
        <v>0.225</v>
      </c>
      <c r="D91" s="26" t="n">
        <v>0.8080000000000001</v>
      </c>
      <c r="F91" s="27" t="n">
        <v>0.05</v>
      </c>
      <c r="G91" s="27" t="n">
        <v>0.08</v>
      </c>
      <c r="H91" s="27" t="n">
        <v>0.03</v>
      </c>
      <c r="I91" s="28">
        <f>CHOOSE(MATCH($B$2,{"Base","Bull","Bear"},0),F91,G91,H91)</f>
        <v/>
      </c>
      <c r="K91" s="22" t="inlineStr">
        <is>
          <t>2025含$24B估值调增(一次性),正常化后温和增长</t>
        </is>
      </c>
    </row>
    <row r="92">
      <c r="A92" s="7" t="inlineStr">
        <is>
          <t>MktSec Growth 有价证券增速 %</t>
        </is>
      </c>
      <c r="B92" s="26" t="n"/>
      <c r="C92" s="26" t="n">
        <v>-0.169</v>
      </c>
      <c r="D92" s="26" t="n">
        <v>0.332</v>
      </c>
      <c r="F92" s="27" t="n">
        <v>0</v>
      </c>
      <c r="G92" s="27" t="n">
        <v>0.02</v>
      </c>
      <c r="H92" s="27" t="n">
        <v>-0.03</v>
      </c>
      <c r="I92" s="28">
        <f>CHOOSE(MATCH($B$2,{"Base","Bull","Bear"},0),F92,G92,H92)</f>
        <v/>
      </c>
      <c r="K92" s="22" t="inlineStr">
        <is>
          <t>CapEx高峰期保持平稳,不主动增持</t>
        </is>
      </c>
    </row>
    <row r="93">
      <c r="A93" s="7" t="inlineStr">
        <is>
          <t>StockNet Settlement % of SBC 净结算比例</t>
        </is>
      </c>
      <c r="B93" s="26" t="n">
        <v>0.438</v>
      </c>
      <c r="C93" s="26" t="n">
        <v>0.535</v>
      </c>
      <c r="D93" s="26" t="n">
        <v>0.5679999999999999</v>
      </c>
      <c r="F93" s="27" t="n">
        <v>0.55</v>
      </c>
      <c r="G93" s="27" t="n">
        <v>0.52</v>
      </c>
      <c r="H93" s="27" t="n">
        <v>0.58</v>
      </c>
      <c r="I93" s="28">
        <f>CHOOSE(MATCH($B$2,{"Base","Bull","Bear"},0),F93,G93,H93)</f>
        <v/>
      </c>
      <c r="K93" s="22" t="inlineStr">
        <is>
          <t>RSU净结算/税代扣占SBC比例</t>
        </is>
      </c>
    </row>
    <row r="95">
      <c r="A95" s="14" t="inlineStr">
        <is>
          <t>Debt &amp; Financing 债务融资 (Net Issuance, USD mm)</t>
        </is>
      </c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6" t="inlineStr">
        <is>
          <t>Year</t>
        </is>
      </c>
      <c r="B96" s="6" t="inlineStr">
        <is>
          <t>2023A</t>
        </is>
      </c>
      <c r="C96" s="6" t="inlineStr">
        <is>
          <t>2024A</t>
        </is>
      </c>
      <c r="D96" s="6" t="inlineStr">
        <is>
          <t>2025A</t>
        </is>
      </c>
      <c r="E96" s="6" t="inlineStr"/>
      <c r="F96" s="6" t="inlineStr">
        <is>
          <t>Base</t>
        </is>
      </c>
      <c r="G96" s="6" t="inlineStr">
        <is>
          <t>Bull</t>
        </is>
      </c>
      <c r="H96" s="6" t="inlineStr">
        <is>
          <t>Bear</t>
        </is>
      </c>
      <c r="I96" s="6" t="inlineStr">
        <is>
          <t>Selected</t>
        </is>
      </c>
      <c r="J96" s="6" t="inlineStr"/>
      <c r="K96" s="6" t="inlineStr">
        <is>
          <t>Notes</t>
        </is>
      </c>
    </row>
    <row r="97">
      <c r="A97" s="7" t="inlineStr">
        <is>
          <t>2026E Net Debt Issuance 净融资</t>
        </is>
      </c>
      <c r="B97" s="31" t="n">
        <v>-760</v>
      </c>
      <c r="C97" s="31" t="n">
        <v>888</v>
      </c>
      <c r="D97" s="31" t="n">
        <v>32137</v>
      </c>
      <c r="F97" s="32" t="n">
        <v>60000</v>
      </c>
      <c r="G97" s="32" t="n">
        <v>55000</v>
      </c>
      <c r="H97" s="32" t="n">
        <v>65000</v>
      </c>
      <c r="I97" s="33">
        <f>CHOOSE(MATCH($B$2,{"Base","Bull","Bear"},0),F97,G97,H97)</f>
        <v/>
      </c>
      <c r="K97" s="22" t="inlineStr">
        <is>
          <t>CapEx高峰需大量融资,参照2025发债$65B</t>
        </is>
      </c>
    </row>
    <row r="98">
      <c r="A98" s="7" t="inlineStr">
        <is>
          <t>2027E Net Debt Issuance</t>
        </is>
      </c>
      <c r="B98" s="31" t="n"/>
      <c r="C98" s="31" t="n"/>
      <c r="D98" s="31" t="n"/>
      <c r="F98" s="32" t="n">
        <v>25000</v>
      </c>
      <c r="G98" s="32" t="n">
        <v>20000</v>
      </c>
      <c r="H98" s="32" t="n">
        <v>30000</v>
      </c>
      <c r="I98" s="33">
        <f>CHOOSE(MATCH($B$2,{"Base","Bull","Bear"},0),F98,G98,H98)</f>
        <v/>
      </c>
      <c r="K98" s="22" t="inlineStr">
        <is>
          <t>CapEx缓降,融资需求下降</t>
        </is>
      </c>
    </row>
    <row r="99">
      <c r="A99" s="7" t="inlineStr">
        <is>
          <t>2028E Net Debt Issuance</t>
        </is>
      </c>
      <c r="B99" s="31" t="n"/>
      <c r="C99" s="31" t="n"/>
      <c r="D99" s="31" t="n"/>
      <c r="F99" s="32" t="n">
        <v>10000</v>
      </c>
      <c r="G99" s="32" t="n">
        <v>5000</v>
      </c>
      <c r="H99" s="32" t="n">
        <v>15000</v>
      </c>
      <c r="I99" s="33">
        <f>CHOOSE(MATCH($B$2,{"Base","Bull","Bear"},0),F99,G99,H99)</f>
        <v/>
      </c>
      <c r="K99" s="22" t="inlineStr">
        <is>
          <t>接近自给自足</t>
        </is>
      </c>
    </row>
    <row r="100">
      <c r="A100" s="7" t="inlineStr">
        <is>
          <t>2029E Net Debt Issuance</t>
        </is>
      </c>
      <c r="B100" s="31" t="n"/>
      <c r="C100" s="31" t="n"/>
      <c r="D100" s="31" t="n"/>
      <c r="F100" s="32" t="n">
        <v>-10000</v>
      </c>
      <c r="G100" s="32" t="n">
        <v>-15000</v>
      </c>
      <c r="H100" s="32" t="n">
        <v>0</v>
      </c>
      <c r="I100" s="33">
        <f>CHOOSE(MATCH($B$2,{"Base","Bull","Bear"},0),F100,G100,H100)</f>
        <v/>
      </c>
      <c r="K100" s="22" t="inlineStr">
        <is>
          <t>开始偿债</t>
        </is>
      </c>
    </row>
    <row r="101">
      <c r="A101" s="7" t="inlineStr">
        <is>
          <t>2030E Net Debt Issuance</t>
        </is>
      </c>
      <c r="B101" s="31" t="n"/>
      <c r="C101" s="31" t="n"/>
      <c r="D101" s="31" t="n"/>
      <c r="F101" s="32" t="n">
        <v>-20000</v>
      </c>
      <c r="G101" s="32" t="n">
        <v>-25000</v>
      </c>
      <c r="H101" s="32" t="n">
        <v>-10000</v>
      </c>
      <c r="I101" s="33">
        <f>CHOOSE(MATCH($B$2,{"Base","Bull","Bear"},0),F101,G101,H101)</f>
        <v/>
      </c>
      <c r="K101" s="22" t="inlineStr">
        <is>
          <t>积极去杠杆</t>
        </is>
      </c>
    </row>
    <row r="105">
      <c r="A105" s="17" t="inlineStr">
        <is>
          <t>数据图例 Data Legend:</t>
        </is>
      </c>
    </row>
    <row r="106">
      <c r="A106" s="16" t="inlineStr">
        <is>
          <t xml:space="preserve">  蓝色字体 Blue Font = 财报原始数据 Hardcoded from financials</t>
        </is>
      </c>
    </row>
    <row r="107">
      <c r="A107" s="16" t="inlineStr">
        <is>
          <t xml:space="preserve">  绿色字体 Green Font = 链接自其他工作表 Links from other sheets</t>
        </is>
      </c>
    </row>
    <row r="108">
      <c r="A108" s="16" t="inlineStr">
        <is>
          <t xml:space="preserve">  蓝底深蓝字体 Blue Fill = 可编辑假设 Editable assumption inputs</t>
        </is>
      </c>
    </row>
    <row r="109">
      <c r="A109" s="16" t="inlineStr">
        <is>
          <t xml:space="preserve">  黄底粗体 Yellow Fill = 关键输出 Key output rows</t>
        </is>
      </c>
    </row>
    <row r="110">
      <c r="A110" s="16" t="inlineStr">
        <is>
          <t xml:space="preserve">  黑色字体 Black Font = 公式计算 Calculated from formulas</t>
        </is>
      </c>
    </row>
    <row r="112">
      <c r="A112" s="17" t="inlineStr">
        <is>
          <t>数据来源 Data Sources:</t>
        </is>
      </c>
    </row>
    <row r="113">
      <c r="A113" s="16" t="inlineStr">
        <is>
          <t xml:space="preserve">  • Alphabet 2025 10-K Annual Report (filed Feb 4, 2026) - Consolidated Financial Statements pp.48-52</t>
        </is>
      </c>
    </row>
    <row r="114">
      <c r="A114" s="16" t="inlineStr">
        <is>
          <t xml:space="preserve">  • Alphabet 2025 10-K Note 15: Segment Information (Google Services, Cloud, Other Bets)</t>
        </is>
      </c>
    </row>
    <row r="115">
      <c r="A115" s="16" t="inlineStr">
        <is>
          <t xml:space="preserve">  • Q4 2025 Earnings Call (Feb 4, 2026): CapEx 2026 guidance $75B (single quarter) → annualized ~$180B</t>
        </is>
      </c>
    </row>
    <row r="116">
      <c r="A116" s="16" t="inlineStr">
        <is>
          <t xml:space="preserve">  • 10Y UST yield ~4.2% (Feb 2026), Fed 2% long-term inflation target</t>
        </is>
      </c>
    </row>
  </sheetData>
  <mergeCells count="12">
    <mergeCell ref="A6:K6"/>
    <mergeCell ref="A34:K34"/>
    <mergeCell ref="A50:K50"/>
    <mergeCell ref="A20:K20"/>
    <mergeCell ref="A78:K78"/>
    <mergeCell ref="A15:K15"/>
    <mergeCell ref="A59:K59"/>
    <mergeCell ref="A25:K25"/>
    <mergeCell ref="A82:K82"/>
    <mergeCell ref="A95:K95"/>
    <mergeCell ref="A42:K42"/>
    <mergeCell ref="A70:K70"/>
  </mergeCells>
  <dataValidations count="1">
    <dataValidation sqref="B2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8" customWidth="1" min="11" max="11"/>
  </cols>
  <sheetData>
    <row r="1">
      <c r="A1" s="4" t="inlineStr">
        <is>
          <t>Revenue Build 分部收入构建 (USD mm)</t>
        </is>
      </c>
    </row>
    <row r="2">
      <c r="A2" s="5" t="inlineStr">
        <is>
          <t>单位：百万美元 | Cloud Q4'25 = $17.7B (48% YoY)</t>
        </is>
      </c>
    </row>
    <row r="4">
      <c r="A4" s="42" t="n"/>
      <c r="B4" s="6" t="n">
        <v>2023</v>
      </c>
      <c r="C4" s="6" t="n">
        <v>2024</v>
      </c>
      <c r="D4" s="6" t="n">
        <v>2025</v>
      </c>
      <c r="E4" s="6" t="inlineStr">
        <is>
          <t>2026E</t>
        </is>
      </c>
      <c r="F4" s="6" t="inlineStr">
        <is>
          <t>2027E</t>
        </is>
      </c>
      <c r="G4" s="6" t="inlineStr">
        <is>
          <t>2028E</t>
        </is>
      </c>
      <c r="H4" s="6" t="inlineStr">
        <is>
          <t>2029E</t>
        </is>
      </c>
      <c r="I4" s="6" t="inlineStr">
        <is>
          <t>2030E</t>
        </is>
      </c>
      <c r="K4" s="6" t="inlineStr">
        <is>
          <t>Notes / 预测逻辑</t>
        </is>
      </c>
    </row>
    <row r="6">
      <c r="A6" s="14" t="inlineStr">
        <is>
          <t>Google Advertising 谷歌广告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7" t="inlineStr">
        <is>
          <t>Google Search &amp; other</t>
        </is>
      </c>
      <c r="B7" s="43" t="n">
        <v>175033</v>
      </c>
      <c r="C7" s="43" t="n">
        <v>198084</v>
      </c>
      <c r="D7" s="43" t="n">
        <v>224532</v>
      </c>
      <c r="E7" s="44">
        <f>D7*(1+CHOOSE(MATCH(Assumptions!$B$2,{"Base","Bull","Bear"},0),Assumptions!F$27,Assumptions!F$35,Assumptions!F$43))</f>
        <v/>
      </c>
      <c r="F7" s="44">
        <f>E7*(1+CHOOSE(MATCH(Assumptions!$B$2,{"Base","Bull","Bear"},0),Assumptions!G$27,Assumptions!G$35,Assumptions!G$43))</f>
        <v/>
      </c>
      <c r="G7" s="44">
        <f>F7*(1+CHOOSE(MATCH(Assumptions!$B$2,{"Base","Bull","Bear"},0),Assumptions!H$27,Assumptions!H$35,Assumptions!H$43))</f>
        <v/>
      </c>
      <c r="H7" s="44">
        <f>G7*(1+CHOOSE(MATCH(Assumptions!$B$2,{"Base","Bull","Bear"},0),Assumptions!I$27,Assumptions!I$35,Assumptions!I$43))</f>
        <v/>
      </c>
      <c r="I7" s="44">
        <f>H7*(1+CHOOSE(MATCH(Assumptions!$B$2,{"Base","Bull","Bear"},0),Assumptions!J$27,Assumptions!J$35,Assumptions!J$43))</f>
        <v/>
      </c>
      <c r="K7" s="22" t="inlineStr">
        <is>
          <t>搜索广告核心收入，AI Overview推动</t>
        </is>
      </c>
    </row>
    <row r="8">
      <c r="A8" s="12" t="inlineStr">
        <is>
          <t xml:space="preserve">  yoy %</t>
        </is>
      </c>
      <c r="C8" s="10">
        <f>C7/B7-1</f>
        <v/>
      </c>
      <c r="D8" s="10">
        <f>D7/C7-1</f>
        <v/>
      </c>
      <c r="E8" s="10">
        <f>E7/D7-1</f>
        <v/>
      </c>
      <c r="F8" s="10">
        <f>F7/E7-1</f>
        <v/>
      </c>
      <c r="G8" s="10">
        <f>G7/F7-1</f>
        <v/>
      </c>
      <c r="H8" s="10">
        <f>H7/G7-1</f>
        <v/>
      </c>
      <c r="I8" s="10">
        <f>I7/H7-1</f>
        <v/>
      </c>
    </row>
    <row r="9">
      <c r="A9" s="7" t="inlineStr">
        <is>
          <t>YouTube ads</t>
        </is>
      </c>
      <c r="B9" s="43" t="n">
        <v>31510</v>
      </c>
      <c r="C9" s="43" t="n">
        <v>36147</v>
      </c>
      <c r="D9" s="43" t="n">
        <v>40367</v>
      </c>
      <c r="E9" s="44">
        <f>D9*(1+CHOOSE(MATCH(Assumptions!$B$2,{"Base","Bull","Bear"},0),Assumptions!F$28,Assumptions!F$36,Assumptions!F$44))</f>
        <v/>
      </c>
      <c r="F9" s="44">
        <f>E9*(1+CHOOSE(MATCH(Assumptions!$B$2,{"Base","Bull","Bear"},0),Assumptions!G$28,Assumptions!G$36,Assumptions!G$44))</f>
        <v/>
      </c>
      <c r="G9" s="44">
        <f>F9*(1+CHOOSE(MATCH(Assumptions!$B$2,{"Base","Bull","Bear"},0),Assumptions!H$28,Assumptions!H$36,Assumptions!H$44))</f>
        <v/>
      </c>
      <c r="H9" s="44">
        <f>G9*(1+CHOOSE(MATCH(Assumptions!$B$2,{"Base","Bull","Bear"},0),Assumptions!I$28,Assumptions!I$36,Assumptions!I$44))</f>
        <v/>
      </c>
      <c r="I9" s="44">
        <f>H9*(1+CHOOSE(MATCH(Assumptions!$B$2,{"Base","Bull","Bear"},0),Assumptions!J$28,Assumptions!J$36,Assumptions!J$44))</f>
        <v/>
      </c>
      <c r="K9" s="22" t="inlineStr">
        <is>
          <t>Shorts变现+Connected TV增长</t>
        </is>
      </c>
    </row>
    <row r="10">
      <c r="A10" s="12" t="inlineStr">
        <is>
          <t xml:space="preserve">  yoy %</t>
        </is>
      </c>
      <c r="C10" s="10">
        <f>C9/B9-1</f>
        <v/>
      </c>
      <c r="D10" s="10">
        <f>D9/C9-1</f>
        <v/>
      </c>
      <c r="E10" s="10">
        <f>E9/D9-1</f>
        <v/>
      </c>
      <c r="F10" s="10">
        <f>F9/E9-1</f>
        <v/>
      </c>
      <c r="G10" s="10">
        <f>G9/F9-1</f>
        <v/>
      </c>
      <c r="H10" s="10">
        <f>H9/G9-1</f>
        <v/>
      </c>
      <c r="I10" s="10">
        <f>I9/H9-1</f>
        <v/>
      </c>
    </row>
    <row r="11">
      <c r="A11" s="7" t="inlineStr">
        <is>
          <t>Google Network</t>
        </is>
      </c>
      <c r="B11" s="43" t="n">
        <v>31312</v>
      </c>
      <c r="C11" s="43" t="n">
        <v>30359</v>
      </c>
      <c r="D11" s="43" t="n">
        <v>29792</v>
      </c>
      <c r="E11" s="44">
        <f>D11*(1+CHOOSE(MATCH(Assumptions!$B$2,{"Base","Bull","Bear"},0),Assumptions!F$29,Assumptions!F$37,Assumptions!F$45))</f>
        <v/>
      </c>
      <c r="F11" s="44">
        <f>E11*(1+CHOOSE(MATCH(Assumptions!$B$2,{"Base","Bull","Bear"},0),Assumptions!G$29,Assumptions!G$37,Assumptions!G$45))</f>
        <v/>
      </c>
      <c r="G11" s="44">
        <f>F11*(1+CHOOSE(MATCH(Assumptions!$B$2,{"Base","Bull","Bear"},0),Assumptions!H$29,Assumptions!H$37,Assumptions!H$45))</f>
        <v/>
      </c>
      <c r="H11" s="44">
        <f>G11*(1+CHOOSE(MATCH(Assumptions!$B$2,{"Base","Bull","Bear"},0),Assumptions!I$29,Assumptions!I$37,Assumptions!I$45))</f>
        <v/>
      </c>
      <c r="I11" s="44">
        <f>H11*(1+CHOOSE(MATCH(Assumptions!$B$2,{"Base","Bull","Bear"},0),Assumptions!J$29,Assumptions!J$37,Assumptions!J$45))</f>
        <v/>
      </c>
      <c r="K11" s="22" t="inlineStr">
        <is>
          <t>持续萎缩，向自有平台转移</t>
        </is>
      </c>
    </row>
    <row r="12">
      <c r="A12" s="12" t="inlineStr">
        <is>
          <t xml:space="preserve">  yoy %</t>
        </is>
      </c>
      <c r="C12" s="10">
        <f>C11/B11-1</f>
        <v/>
      </c>
      <c r="D12" s="10">
        <f>D11/C11-1</f>
        <v/>
      </c>
      <c r="E12" s="10">
        <f>E11/D11-1</f>
        <v/>
      </c>
      <c r="F12" s="10">
        <f>F11/E11-1</f>
        <v/>
      </c>
      <c r="G12" s="10">
        <f>G11/F11-1</f>
        <v/>
      </c>
      <c r="H12" s="10">
        <f>H11/G11-1</f>
        <v/>
      </c>
      <c r="I12" s="10">
        <f>I11/H11-1</f>
        <v/>
      </c>
    </row>
    <row r="13">
      <c r="A13" s="45" t="inlineStr">
        <is>
          <t>Total Google Advertising 广告合计</t>
        </is>
      </c>
      <c r="B13" s="46">
        <f>B7+B9+B11</f>
        <v/>
      </c>
      <c r="C13" s="46">
        <f>C7+C9+C11</f>
        <v/>
      </c>
      <c r="D13" s="46">
        <f>D7+D9+D11</f>
        <v/>
      </c>
      <c r="E13" s="46">
        <f>E7+E9+E11</f>
        <v/>
      </c>
      <c r="F13" s="46">
        <f>F7+F9+F11</f>
        <v/>
      </c>
      <c r="G13" s="46">
        <f>G7+G9+G11</f>
        <v/>
      </c>
      <c r="H13" s="46">
        <f>H7+H9+H11</f>
        <v/>
      </c>
      <c r="I13" s="46">
        <f>I7+I9+I11</f>
        <v/>
      </c>
      <c r="K13" s="22" t="inlineStr">
        <is>
          <t>Search+YouTube+Network</t>
        </is>
      </c>
    </row>
    <row r="15">
      <c r="A15" s="14" t="inlineStr">
        <is>
          <t>Subscriptions, Platforms &amp; Devices 订阅/平台/设备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7" t="inlineStr">
        <is>
          <t>Subs, Platforms &amp; Devices</t>
        </is>
      </c>
      <c r="B16" s="43" t="n">
        <v>34688</v>
      </c>
      <c r="C16" s="43" t="n">
        <v>40340</v>
      </c>
      <c r="D16" s="43" t="n">
        <v>48030</v>
      </c>
      <c r="E16" s="44">
        <f>D16*(1+CHOOSE(MATCH(Assumptions!$B$2,{"Base","Bull","Bear"},0),Assumptions!F$30,Assumptions!F$38,Assumptions!F$46))</f>
        <v/>
      </c>
      <c r="F16" s="44">
        <f>E16*(1+CHOOSE(MATCH(Assumptions!$B$2,{"Base","Bull","Bear"},0),Assumptions!G$30,Assumptions!G$38,Assumptions!G$46))</f>
        <v/>
      </c>
      <c r="G16" s="44">
        <f>F16*(1+CHOOSE(MATCH(Assumptions!$B$2,{"Base","Bull","Bear"},0),Assumptions!H$30,Assumptions!H$38,Assumptions!H$46))</f>
        <v/>
      </c>
      <c r="H16" s="44">
        <f>G16*(1+CHOOSE(MATCH(Assumptions!$B$2,{"Base","Bull","Bear"},0),Assumptions!I$30,Assumptions!I$38,Assumptions!I$46))</f>
        <v/>
      </c>
      <c r="I16" s="44">
        <f>H16*(1+CHOOSE(MATCH(Assumptions!$B$2,{"Base","Bull","Bear"},0),Assumptions!J$30,Assumptions!J$38,Assumptions!J$46))</f>
        <v/>
      </c>
      <c r="K16" s="22" t="inlineStr">
        <is>
          <t>YouTube Premium/Music + Pixel设备</t>
        </is>
      </c>
    </row>
    <row r="17">
      <c r="A17" s="12" t="inlineStr">
        <is>
          <t xml:space="preserve">  yoy %</t>
        </is>
      </c>
      <c r="C17" s="10">
        <f>C16/B16-1</f>
        <v/>
      </c>
      <c r="D17" s="10">
        <f>D16/C16-1</f>
        <v/>
      </c>
      <c r="E17" s="10">
        <f>E16/D16-1</f>
        <v/>
      </c>
      <c r="F17" s="10">
        <f>F16/E16-1</f>
        <v/>
      </c>
      <c r="G17" s="10">
        <f>G16/F16-1</f>
        <v/>
      </c>
      <c r="H17" s="10">
        <f>H16/G16-1</f>
        <v/>
      </c>
      <c r="I17" s="10">
        <f>I16/H16-1</f>
        <v/>
      </c>
    </row>
    <row r="19">
      <c r="A19" s="47" t="inlineStr">
        <is>
          <t>Google Services Total 谷歌服务合计</t>
        </is>
      </c>
      <c r="B19" s="48">
        <f>B13+B16</f>
        <v/>
      </c>
      <c r="C19" s="48">
        <f>C13+C16</f>
        <v/>
      </c>
      <c r="D19" s="48">
        <f>D13+D16</f>
        <v/>
      </c>
      <c r="E19" s="48">
        <f>E13+E16</f>
        <v/>
      </c>
      <c r="F19" s="48">
        <f>F13+F16</f>
        <v/>
      </c>
      <c r="G19" s="48">
        <f>G13+G16</f>
        <v/>
      </c>
      <c r="H19" s="48">
        <f>H13+H16</f>
        <v/>
      </c>
      <c r="I19" s="48">
        <f>I13+I16</f>
        <v/>
      </c>
      <c r="K19" s="22" t="inlineStr">
        <is>
          <t>广告合计+订阅/平台/设备</t>
        </is>
      </c>
    </row>
    <row r="21">
      <c r="A21" s="14" t="inlineStr">
        <is>
          <t>Google Cloud 谷歌云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7" t="inlineStr">
        <is>
          <t>Google Cloud</t>
        </is>
      </c>
      <c r="B22" s="43" t="n">
        <v>33088</v>
      </c>
      <c r="C22" s="43" t="n">
        <v>43229</v>
      </c>
      <c r="D22" s="43" t="n">
        <v>58705</v>
      </c>
      <c r="E22" s="44">
        <f>D22*(1+CHOOSE(MATCH(Assumptions!$B$2,{"Base","Bull","Bear"},0),Assumptions!F$31,Assumptions!F$39,Assumptions!F$47))</f>
        <v/>
      </c>
      <c r="F22" s="44">
        <f>E22*(1+CHOOSE(MATCH(Assumptions!$B$2,{"Base","Bull","Bear"},0),Assumptions!G$31,Assumptions!G$39,Assumptions!G$47))</f>
        <v/>
      </c>
      <c r="G22" s="44">
        <f>F22*(1+CHOOSE(MATCH(Assumptions!$B$2,{"Base","Bull","Bear"},0),Assumptions!H$31,Assumptions!H$39,Assumptions!H$47))</f>
        <v/>
      </c>
      <c r="H22" s="44">
        <f>G22*(1+CHOOSE(MATCH(Assumptions!$B$2,{"Base","Bull","Bear"},0),Assumptions!I$31,Assumptions!I$39,Assumptions!I$47))</f>
        <v/>
      </c>
      <c r="I22" s="44">
        <f>H22*(1+CHOOSE(MATCH(Assumptions!$B$2,{"Base","Bull","Bear"},0),Assumptions!J$31,Assumptions!J$39,Assumptions!J$47))</f>
        <v/>
      </c>
      <c r="K22" s="22" t="inlineStr">
        <is>
          <t>GCP+Workspace，AI Cloud核心增长引擎</t>
        </is>
      </c>
    </row>
    <row r="23">
      <c r="A23" s="12" t="inlineStr">
        <is>
          <t xml:space="preserve">  yoy %</t>
        </is>
      </c>
      <c r="C23" s="10">
        <f>C22/B22-1</f>
        <v/>
      </c>
      <c r="D23" s="10">
        <f>D22/C22-1</f>
        <v/>
      </c>
      <c r="E23" s="10">
        <f>E22/D22-1</f>
        <v/>
      </c>
      <c r="F23" s="10">
        <f>F22/E22-1</f>
        <v/>
      </c>
      <c r="G23" s="10">
        <f>G22/F22-1</f>
        <v/>
      </c>
      <c r="H23" s="10">
        <f>H22/G22-1</f>
        <v/>
      </c>
      <c r="I23" s="10">
        <f>I22/H22-1</f>
        <v/>
      </c>
    </row>
    <row r="25">
      <c r="A25" s="14" t="inlineStr">
        <is>
          <t>Other Bets 其他创新业务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7" t="inlineStr">
        <is>
          <t>Other Bets</t>
        </is>
      </c>
      <c r="B26" s="43" t="n">
        <v>1527</v>
      </c>
      <c r="C26" s="43" t="n">
        <v>1648</v>
      </c>
      <c r="D26" s="43" t="n">
        <v>1537</v>
      </c>
      <c r="E26" s="44">
        <f>D26*(1+CHOOSE(MATCH(Assumptions!$B$2,{"Base","Bull","Bear"},0),Assumptions!F$32,Assumptions!F$40,Assumptions!F$48))</f>
        <v/>
      </c>
      <c r="F26" s="44">
        <f>E26*(1+CHOOSE(MATCH(Assumptions!$B$2,{"Base","Bull","Bear"},0),Assumptions!G$32,Assumptions!G$40,Assumptions!G$48))</f>
        <v/>
      </c>
      <c r="G26" s="44">
        <f>F26*(1+CHOOSE(MATCH(Assumptions!$B$2,{"Base","Bull","Bear"},0),Assumptions!H$32,Assumptions!H$40,Assumptions!H$48))</f>
        <v/>
      </c>
      <c r="H26" s="44">
        <f>G26*(1+CHOOSE(MATCH(Assumptions!$B$2,{"Base","Bull","Bear"},0),Assumptions!I$32,Assumptions!I$40,Assumptions!I$48))</f>
        <v/>
      </c>
      <c r="I26" s="44">
        <f>H26*(1+CHOOSE(MATCH(Assumptions!$B$2,{"Base","Bull","Bear"},0),Assumptions!J$32,Assumptions!J$40,Assumptions!J$48))</f>
        <v/>
      </c>
      <c r="K26" s="22" t="inlineStr">
        <is>
          <t>Waymo/Verily等前沿业务</t>
        </is>
      </c>
    </row>
    <row r="27">
      <c r="A27" s="12" t="inlineStr">
        <is>
          <t xml:space="preserve">  yoy %</t>
        </is>
      </c>
      <c r="C27" s="10">
        <f>C26/B26-1</f>
        <v/>
      </c>
      <c r="D27" s="10">
        <f>D26/C26-1</f>
        <v/>
      </c>
      <c r="E27" s="10">
        <f>E26/D26-1</f>
        <v/>
      </c>
      <c r="F27" s="10">
        <f>F26/E26-1</f>
        <v/>
      </c>
      <c r="G27" s="10">
        <f>G26/F26-1</f>
        <v/>
      </c>
      <c r="H27" s="10">
        <f>H26/G26-1</f>
        <v/>
      </c>
      <c r="I27" s="10">
        <f>I26/H26-1</f>
        <v/>
      </c>
    </row>
    <row r="29">
      <c r="A29" s="49" t="inlineStr">
        <is>
          <t>Hedging gains (losses) 外汇对冲</t>
        </is>
      </c>
      <c r="B29" s="43" t="n">
        <v>236</v>
      </c>
      <c r="C29" s="43" t="n">
        <v>211</v>
      </c>
      <c r="D29" s="43" t="n">
        <v>-127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K29" s="22" t="inlineStr">
        <is>
          <t>假设为零 Assume zero</t>
        </is>
      </c>
    </row>
    <row r="31">
      <c r="A31" s="47" t="inlineStr">
        <is>
          <t>Total Revenue 总收入</t>
        </is>
      </c>
      <c r="B31" s="48">
        <f>B19+B22+B26+B29</f>
        <v/>
      </c>
      <c r="C31" s="48">
        <f>C19+C22+C26+C29</f>
        <v/>
      </c>
      <c r="D31" s="48">
        <f>D19+D22+D26+D29</f>
        <v/>
      </c>
      <c r="E31" s="48">
        <f>E19+E22+E26+E29</f>
        <v/>
      </c>
      <c r="F31" s="48">
        <f>F19+F22+F26+F29</f>
        <v/>
      </c>
      <c r="G31" s="48">
        <f>G19+G22+G26+G29</f>
        <v/>
      </c>
      <c r="H31" s="48">
        <f>H19+H22+H26+H29</f>
        <v/>
      </c>
      <c r="I31" s="48">
        <f>I19+I22+I26+I29</f>
        <v/>
      </c>
      <c r="K31" s="22" t="inlineStr">
        <is>
          <t>Services+Cloud+OtherBets+Hedging</t>
        </is>
      </c>
    </row>
    <row r="32">
      <c r="A32" s="12" t="inlineStr">
        <is>
          <t xml:space="preserve">  yoy %</t>
        </is>
      </c>
      <c r="C32" s="10">
        <f>C31/B31-1</f>
        <v/>
      </c>
      <c r="D32" s="10">
        <f>D31/C31-1</f>
        <v/>
      </c>
      <c r="E32" s="10">
        <f>E31/D31-1</f>
        <v/>
      </c>
      <c r="F32" s="10">
        <f>F31/E31-1</f>
        <v/>
      </c>
      <c r="G32" s="10">
        <f>G31/F31-1</f>
        <v/>
      </c>
      <c r="H32" s="10">
        <f>H31/G31-1</f>
        <v/>
      </c>
      <c r="I32" s="10">
        <f>I31/H31-1</f>
        <v/>
      </c>
    </row>
    <row r="34">
      <c r="A34" s="14" t="inlineStr">
        <is>
          <t>Revenue Mix % 收入结构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2" t="inlineStr">
        <is>
          <t xml:space="preserve">  Google Search &amp; other</t>
        </is>
      </c>
      <c r="B35" s="10">
        <f>B7/B31</f>
        <v/>
      </c>
      <c r="C35" s="10">
        <f>C7/C31</f>
        <v/>
      </c>
      <c r="D35" s="10">
        <f>D7/D31</f>
        <v/>
      </c>
      <c r="E35" s="10">
        <f>E7/E31</f>
        <v/>
      </c>
      <c r="F35" s="10">
        <f>F7/F31</f>
        <v/>
      </c>
      <c r="G35" s="10">
        <f>G7/G31</f>
        <v/>
      </c>
      <c r="H35" s="10">
        <f>H7/H31</f>
        <v/>
      </c>
      <c r="I35" s="10">
        <f>I7/I31</f>
        <v/>
      </c>
    </row>
    <row r="36">
      <c r="A36" s="12" t="inlineStr">
        <is>
          <t xml:space="preserve">  YouTube ads</t>
        </is>
      </c>
      <c r="B36" s="10">
        <f>B9/B31</f>
        <v/>
      </c>
      <c r="C36" s="10">
        <f>C9/C31</f>
        <v/>
      </c>
      <c r="D36" s="10">
        <f>D9/D31</f>
        <v/>
      </c>
      <c r="E36" s="10">
        <f>E9/E31</f>
        <v/>
      </c>
      <c r="F36" s="10">
        <f>F9/F31</f>
        <v/>
      </c>
      <c r="G36" s="10">
        <f>G9/G31</f>
        <v/>
      </c>
      <c r="H36" s="10">
        <f>H9/H31</f>
        <v/>
      </c>
      <c r="I36" s="10">
        <f>I9/I31</f>
        <v/>
      </c>
    </row>
    <row r="37">
      <c r="A37" s="12" t="inlineStr">
        <is>
          <t xml:space="preserve">  Google Network</t>
        </is>
      </c>
      <c r="B37" s="10">
        <f>B11/B31</f>
        <v/>
      </c>
      <c r="C37" s="10">
        <f>C11/C31</f>
        <v/>
      </c>
      <c r="D37" s="10">
        <f>D11/D31</f>
        <v/>
      </c>
      <c r="E37" s="10">
        <f>E11/E31</f>
        <v/>
      </c>
      <c r="F37" s="10">
        <f>F11/F31</f>
        <v/>
      </c>
      <c r="G37" s="10">
        <f>G11/G31</f>
        <v/>
      </c>
      <c r="H37" s="10">
        <f>H11/H31</f>
        <v/>
      </c>
      <c r="I37" s="10">
        <f>I11/I31</f>
        <v/>
      </c>
    </row>
    <row r="38">
      <c r="A38" s="12" t="inlineStr">
        <is>
          <t xml:space="preserve">  Subs, Platforms &amp; Devices</t>
        </is>
      </c>
      <c r="B38" s="10">
        <f>B16/B31</f>
        <v/>
      </c>
      <c r="C38" s="10">
        <f>C16/C31</f>
        <v/>
      </c>
      <c r="D38" s="10">
        <f>D16/D31</f>
        <v/>
      </c>
      <c r="E38" s="10">
        <f>E16/E31</f>
        <v/>
      </c>
      <c r="F38" s="10">
        <f>F16/F31</f>
        <v/>
      </c>
      <c r="G38" s="10">
        <f>G16/G31</f>
        <v/>
      </c>
      <c r="H38" s="10">
        <f>H16/H31</f>
        <v/>
      </c>
      <c r="I38" s="10">
        <f>I16/I31</f>
        <v/>
      </c>
    </row>
    <row r="39">
      <c r="A39" s="12" t="inlineStr">
        <is>
          <t xml:space="preserve">  Google Cloud</t>
        </is>
      </c>
      <c r="B39" s="10">
        <f>B22/B31</f>
        <v/>
      </c>
      <c r="C39" s="10">
        <f>C22/C31</f>
        <v/>
      </c>
      <c r="D39" s="10">
        <f>D22/D31</f>
        <v/>
      </c>
      <c r="E39" s="10">
        <f>E22/E31</f>
        <v/>
      </c>
      <c r="F39" s="10">
        <f>F22/F31</f>
        <v/>
      </c>
      <c r="G39" s="10">
        <f>G22/G31</f>
        <v/>
      </c>
      <c r="H39" s="10">
        <f>H22/H31</f>
        <v/>
      </c>
      <c r="I39" s="10">
        <f>I22/I31</f>
        <v/>
      </c>
    </row>
    <row r="40">
      <c r="A40" s="12" t="inlineStr">
        <is>
          <t xml:space="preserve">  Other Bets</t>
        </is>
      </c>
      <c r="B40" s="10">
        <f>B26/B31</f>
        <v/>
      </c>
      <c r="C40" s="10">
        <f>C26/C31</f>
        <v/>
      </c>
      <c r="D40" s="10">
        <f>D26/D31</f>
        <v/>
      </c>
      <c r="E40" s="10">
        <f>E26/E31</f>
        <v/>
      </c>
      <c r="F40" s="10">
        <f>F26/F31</f>
        <v/>
      </c>
      <c r="G40" s="10">
        <f>G26/G31</f>
        <v/>
      </c>
      <c r="H40" s="10">
        <f>H26/H31</f>
        <v/>
      </c>
      <c r="I40" s="10">
        <f>I26/I31</f>
        <v/>
      </c>
    </row>
    <row r="43">
      <c r="A43" s="17" t="inlineStr">
        <is>
          <t>数据图例 Data Legend:</t>
        </is>
      </c>
    </row>
    <row r="44">
      <c r="A44" s="16" t="inlineStr">
        <is>
          <t xml:space="preserve">  蓝色字体 Blue Font = 财报原始数据 Hardcoded from financials</t>
        </is>
      </c>
    </row>
    <row r="45">
      <c r="A45" s="16" t="inlineStr">
        <is>
          <t xml:space="preserve">  绿色字体 Green Font = 链接自其他工作表 Links from other sheets</t>
        </is>
      </c>
    </row>
    <row r="46">
      <c r="A46" s="16" t="inlineStr">
        <is>
          <t xml:space="preserve">  蓝底深蓝字体 Blue Fill = 可编辑假设 Editable assumption inputs</t>
        </is>
      </c>
    </row>
    <row r="47">
      <c r="A47" s="16" t="inlineStr">
        <is>
          <t xml:space="preserve">  黄底粗体 Yellow Fill = 关键输出 Key output rows</t>
        </is>
      </c>
    </row>
    <row r="48">
      <c r="A48" s="16" t="inlineStr">
        <is>
          <t xml:space="preserve">  黑色字体 Black Font = 公式计算 Calculated from formulas</t>
        </is>
      </c>
    </row>
    <row r="50">
      <c r="A50" s="17" t="inlineStr">
        <is>
          <t>数据来源 Data Sources:</t>
        </is>
      </c>
    </row>
    <row r="51">
      <c r="A51" s="16" t="inlineStr">
        <is>
          <t xml:space="preserve">  • Alphabet 2025 10-K Annual Report (filed Feb 4, 2026) - Consolidated Financial Statements pp.48-52</t>
        </is>
      </c>
    </row>
    <row r="52">
      <c r="A52" s="16" t="inlineStr">
        <is>
          <t xml:space="preserve">  • Alphabet 2025 10-K Note 15: Segment Information (Google Services, Cloud, Other Bets)</t>
        </is>
      </c>
    </row>
    <row r="53">
      <c r="A53" s="16" t="inlineStr">
        <is>
          <t xml:space="preserve">  • Q4 2025 Earnings Call (Feb 4, 2026): CapEx 2026 guidance $75B (single quarter) → annualized ~$180B</t>
        </is>
      </c>
    </row>
    <row r="54">
      <c r="A54" s="16" t="inlineStr">
        <is>
          <t xml:space="preserve">  • 10Y UST yield ~4.2% (Feb 2026), Fed 2% long-term inflation target</t>
        </is>
      </c>
    </row>
  </sheetData>
  <mergeCells count="5">
    <mergeCell ref="A6:K6"/>
    <mergeCell ref="A34:K34"/>
    <mergeCell ref="A21:K21"/>
    <mergeCell ref="A15:K15"/>
    <mergeCell ref="A25:K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8" customWidth="1" min="11" max="11"/>
  </cols>
  <sheetData>
    <row r="1">
      <c r="A1" s="4" t="inlineStr">
        <is>
          <t>Segment P&amp;L 分部利润表 (USD mm)</t>
        </is>
      </c>
    </row>
    <row r="2">
      <c r="A2" s="5" t="inlineStr">
        <is>
          <t>Revenue / Costs / Operating Income by Division</t>
        </is>
      </c>
    </row>
    <row r="3">
      <c r="A3" s="42" t="n"/>
      <c r="B3" s="6" t="n">
        <v>2023</v>
      </c>
      <c r="C3" s="6" t="n">
        <v>2024</v>
      </c>
      <c r="D3" s="6" t="n">
        <v>2025</v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6" t="inlineStr">
        <is>
          <t>2029E</t>
        </is>
      </c>
      <c r="I3" s="6" t="inlineStr">
        <is>
          <t>2030E</t>
        </is>
      </c>
      <c r="K3" s="6" t="inlineStr">
        <is>
          <t>Notes / 预测逻辑</t>
        </is>
      </c>
    </row>
    <row r="5">
      <c r="A5" s="14" t="inlineStr">
        <is>
          <t>Google Services 谷歌服务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7" t="inlineStr">
        <is>
          <t>Revenue 收入</t>
        </is>
      </c>
      <c r="B6" s="8">
        <f>Segment_Revenue!B19</f>
        <v/>
      </c>
      <c r="C6" s="8">
        <f>Segment_Revenue!C19</f>
        <v/>
      </c>
      <c r="D6" s="8">
        <f>Segment_Revenue!D19</f>
        <v/>
      </c>
      <c r="E6" s="8">
        <f>Segment_Revenue!E19</f>
        <v/>
      </c>
      <c r="F6" s="8">
        <f>Segment_Revenue!F19</f>
        <v/>
      </c>
      <c r="G6" s="8">
        <f>Segment_Revenue!G19</f>
        <v/>
      </c>
      <c r="H6" s="8">
        <f>Segment_Revenue!H19</f>
        <v/>
      </c>
      <c r="I6" s="8">
        <f>Segment_Revenue!I19</f>
        <v/>
      </c>
      <c r="K6" s="22" t="inlineStr">
        <is>
          <t>链接自Segment_Revenue</t>
        </is>
      </c>
    </row>
    <row r="7">
      <c r="A7" s="49" t="inlineStr">
        <is>
          <t>(-) Employee Comp 员工薪酬</t>
        </is>
      </c>
      <c r="B7" s="43" t="n">
        <v>46224</v>
      </c>
      <c r="C7" s="43" t="n">
        <v>44560</v>
      </c>
      <c r="D7" s="43" t="n">
        <v>45124</v>
      </c>
      <c r="E7" s="44">
        <f>E6*Assumptions!$I$52</f>
        <v/>
      </c>
      <c r="F7" s="44">
        <f>F6*Assumptions!$I$52</f>
        <v/>
      </c>
      <c r="G7" s="44">
        <f>G6*Assumptions!$I$52</f>
        <v/>
      </c>
      <c r="H7" s="44">
        <f>H6*Assumptions!$I$52</f>
        <v/>
      </c>
      <c r="I7" s="44">
        <f>I6*Assumptions!$I$52</f>
        <v/>
      </c>
      <c r="K7" s="22" t="inlineStr">
        <is>
          <t>Revenue×Emp Comp%, 含SBC+福利 (Note 15)</t>
        </is>
      </c>
    </row>
    <row r="8">
      <c r="A8" s="49" t="inlineStr">
        <is>
          <t>(-) Other Costs 其他费用</t>
        </is>
      </c>
      <c r="B8" s="43" t="n">
        <v>130461</v>
      </c>
      <c r="C8" s="43" t="n">
        <v>139107</v>
      </c>
      <c r="D8" s="43" t="n">
        <v>158193</v>
      </c>
      <c r="E8" s="44">
        <f>E6*Assumptions!$I$53</f>
        <v/>
      </c>
      <c r="F8" s="44">
        <f>F6*Assumptions!$I$53</f>
        <v/>
      </c>
      <c r="G8" s="44">
        <f>G6*Assumptions!$I$53</f>
        <v/>
      </c>
      <c r="H8" s="44">
        <f>H6*Assumptions!$I$53</f>
        <v/>
      </c>
      <c r="I8" s="44">
        <f>I6*Assumptions!$I$53</f>
        <v/>
      </c>
      <c r="K8" s="22" t="inlineStr">
        <is>
          <t>含TAC/内容采购/基础设施/设备成本</t>
        </is>
      </c>
    </row>
    <row r="9">
      <c r="A9" s="7" t="inlineStr">
        <is>
          <t>Total Costs 总成本</t>
        </is>
      </c>
      <c r="B9" s="44">
        <f>B7+B8</f>
        <v/>
      </c>
      <c r="C9" s="44">
        <f>C7+C8</f>
        <v/>
      </c>
      <c r="D9" s="44">
        <f>D7+D8</f>
        <v/>
      </c>
      <c r="E9" s="44">
        <f>E7+E8</f>
        <v/>
      </c>
      <c r="F9" s="44">
        <f>F7+F8</f>
        <v/>
      </c>
      <c r="G9" s="44">
        <f>G7+G8</f>
        <v/>
      </c>
      <c r="H9" s="44">
        <f>H7+H8</f>
        <v/>
      </c>
      <c r="I9" s="44">
        <f>I7+I8</f>
        <v/>
      </c>
    </row>
    <row r="10">
      <c r="A10" s="47" t="inlineStr">
        <is>
          <t>Operating Income 经营利润</t>
        </is>
      </c>
      <c r="B10" s="48">
        <f>B6-B9</f>
        <v/>
      </c>
      <c r="C10" s="48">
        <f>C6-C9</f>
        <v/>
      </c>
      <c r="D10" s="48">
        <f>D6-D9</f>
        <v/>
      </c>
      <c r="E10" s="48">
        <f>E6-E9</f>
        <v/>
      </c>
      <c r="F10" s="48">
        <f>F6-F9</f>
        <v/>
      </c>
      <c r="G10" s="48">
        <f>G6-G9</f>
        <v/>
      </c>
      <c r="H10" s="48">
        <f>H6-H9</f>
        <v/>
      </c>
      <c r="I10" s="48">
        <f>I6-I9</f>
        <v/>
      </c>
      <c r="K10" s="22" t="inlineStr">
        <is>
          <t>Revenue-Total Costs</t>
        </is>
      </c>
    </row>
    <row r="11">
      <c r="A11" s="12" t="inlineStr">
        <is>
          <t xml:space="preserve">  Op Margin 经营利润率</t>
        </is>
      </c>
      <c r="B11" s="10">
        <f>B10/B6</f>
        <v/>
      </c>
      <c r="C11" s="10">
        <f>C10/C6</f>
        <v/>
      </c>
      <c r="D11" s="10">
        <f>D10/D6</f>
        <v/>
      </c>
      <c r="E11" s="10">
        <f>E10/E6</f>
        <v/>
      </c>
      <c r="F11" s="10">
        <f>F10/F6</f>
        <v/>
      </c>
      <c r="G11" s="10">
        <f>G10/G6</f>
        <v/>
      </c>
      <c r="H11" s="10">
        <f>H10/H6</f>
        <v/>
      </c>
      <c r="I11" s="10">
        <f>I10/I6</f>
        <v/>
      </c>
    </row>
    <row r="13">
      <c r="A13" s="14" t="inlineStr">
        <is>
          <t>Google Cloud 谷歌云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7" t="inlineStr">
        <is>
          <t>Revenue 收入</t>
        </is>
      </c>
      <c r="B14" s="8">
        <f>Segment_Revenue!B22</f>
        <v/>
      </c>
      <c r="C14" s="8">
        <f>Segment_Revenue!C22</f>
        <v/>
      </c>
      <c r="D14" s="8">
        <f>Segment_Revenue!D22</f>
        <v/>
      </c>
      <c r="E14" s="8">
        <f>Segment_Revenue!E22</f>
        <v/>
      </c>
      <c r="F14" s="8">
        <f>Segment_Revenue!F22</f>
        <v/>
      </c>
      <c r="G14" s="8">
        <f>Segment_Revenue!G22</f>
        <v/>
      </c>
      <c r="H14" s="8">
        <f>Segment_Revenue!H22</f>
        <v/>
      </c>
      <c r="I14" s="8">
        <f>Segment_Revenue!I22</f>
        <v/>
      </c>
      <c r="K14" s="22" t="inlineStr">
        <is>
          <t>链接自Segment_Revenue</t>
        </is>
      </c>
    </row>
    <row r="15">
      <c r="A15" s="49" t="inlineStr">
        <is>
          <t>(-) Employee Comp 员工薪酬</t>
        </is>
      </c>
      <c r="B15" s="43" t="n">
        <v>19054</v>
      </c>
      <c r="C15" s="43" t="n">
        <v>20519</v>
      </c>
      <c r="D15" s="43" t="n">
        <v>22078</v>
      </c>
      <c r="E15" s="44">
        <f>E14*Assumptions!$I$54</f>
        <v/>
      </c>
      <c r="F15" s="44">
        <f>F14*Assumptions!$I$54</f>
        <v/>
      </c>
      <c r="G15" s="44">
        <f>G14*Assumptions!$I$54</f>
        <v/>
      </c>
      <c r="H15" s="44">
        <f>H14*Assumptions!$I$54</f>
        <v/>
      </c>
      <c r="I15" s="44">
        <f>I14*Assumptions!$I$54</f>
        <v/>
      </c>
      <c r="K15" s="22" t="inlineStr">
        <is>
          <t>Revenue×Cloud Emp%, 人效持续改善</t>
        </is>
      </c>
    </row>
    <row r="16">
      <c r="A16" s="49" t="inlineStr">
        <is>
          <t>(-) Other Costs 其他费用</t>
        </is>
      </c>
      <c r="B16" s="43" t="n">
        <v>12318</v>
      </c>
      <c r="C16" s="43" t="n">
        <v>16598</v>
      </c>
      <c r="D16" s="43" t="n">
        <v>22717</v>
      </c>
      <c r="E16" s="44">
        <f>E14*Assumptions!$I$55</f>
        <v/>
      </c>
      <c r="F16" s="44">
        <f>F14*Assumptions!$I$55</f>
        <v/>
      </c>
      <c r="G16" s="44">
        <f>G14*Assumptions!$I$55</f>
        <v/>
      </c>
      <c r="H16" s="44">
        <f>H14*Assumptions!$I$55</f>
        <v/>
      </c>
      <c r="I16" s="44">
        <f>I14*Assumptions!$I$55</f>
        <v/>
      </c>
      <c r="K16" s="22" t="inlineStr">
        <is>
          <t>含基础设施/第三方服务费</t>
        </is>
      </c>
    </row>
    <row r="17">
      <c r="A17" s="7" t="inlineStr">
        <is>
          <t>Total Costs 总成本</t>
        </is>
      </c>
      <c r="B17" s="44">
        <f>B15+B16</f>
        <v/>
      </c>
      <c r="C17" s="44">
        <f>C15+C16</f>
        <v/>
      </c>
      <c r="D17" s="44">
        <f>D15+D16</f>
        <v/>
      </c>
      <c r="E17" s="44">
        <f>E15+E16</f>
        <v/>
      </c>
      <c r="F17" s="44">
        <f>F15+F16</f>
        <v/>
      </c>
      <c r="G17" s="44">
        <f>G15+G16</f>
        <v/>
      </c>
      <c r="H17" s="44">
        <f>H15+H16</f>
        <v/>
      </c>
      <c r="I17" s="44">
        <f>I15+I16</f>
        <v/>
      </c>
    </row>
    <row r="18">
      <c r="A18" s="47" t="inlineStr">
        <is>
          <t>Operating Income 经营利润</t>
        </is>
      </c>
      <c r="B18" s="48">
        <f>B14-B17</f>
        <v/>
      </c>
      <c r="C18" s="48">
        <f>C14-C17</f>
        <v/>
      </c>
      <c r="D18" s="48">
        <f>D14-D17</f>
        <v/>
      </c>
      <c r="E18" s="48">
        <f>E14-E17</f>
        <v/>
      </c>
      <c r="F18" s="48">
        <f>F14-F17</f>
        <v/>
      </c>
      <c r="G18" s="48">
        <f>G14-G17</f>
        <v/>
      </c>
      <c r="H18" s="48">
        <f>H14-H17</f>
        <v/>
      </c>
      <c r="I18" s="48">
        <f>I14-I17</f>
        <v/>
      </c>
      <c r="K18" s="22" t="inlineStr">
        <is>
          <t>Cloud利润率快速提升</t>
        </is>
      </c>
    </row>
    <row r="19">
      <c r="A19" s="12" t="inlineStr">
        <is>
          <t xml:space="preserve">  Op Margin 经营利润率</t>
        </is>
      </c>
      <c r="B19" s="10">
        <f>B18/B14</f>
        <v/>
      </c>
      <c r="C19" s="10">
        <f>C18/C14</f>
        <v/>
      </c>
      <c r="D19" s="10">
        <f>D18/D14</f>
        <v/>
      </c>
      <c r="E19" s="10">
        <f>E18/E14</f>
        <v/>
      </c>
      <c r="F19" s="10">
        <f>F18/F14</f>
        <v/>
      </c>
      <c r="G19" s="10">
        <f>G18/G14</f>
        <v/>
      </c>
      <c r="H19" s="10">
        <f>H18/H14</f>
        <v/>
      </c>
      <c r="I19" s="10">
        <f>I18/I14</f>
        <v/>
      </c>
    </row>
    <row r="21">
      <c r="A21" s="14" t="inlineStr">
        <is>
          <t>Other Bets 其他创新业务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7" t="inlineStr">
        <is>
          <t>Revenue 收入</t>
        </is>
      </c>
      <c r="B22" s="8">
        <f>Segment_Revenue!B26</f>
        <v/>
      </c>
      <c r="C22" s="8">
        <f>Segment_Revenue!C26</f>
        <v/>
      </c>
      <c r="D22" s="8">
        <f>Segment_Revenue!D26</f>
        <v/>
      </c>
      <c r="E22" s="8">
        <f>Segment_Revenue!E26</f>
        <v/>
      </c>
      <c r="F22" s="8">
        <f>Segment_Revenue!F26</f>
        <v/>
      </c>
      <c r="G22" s="8">
        <f>Segment_Revenue!G26</f>
        <v/>
      </c>
      <c r="H22" s="8">
        <f>Segment_Revenue!H26</f>
        <v/>
      </c>
      <c r="I22" s="8">
        <f>Segment_Revenue!I26</f>
        <v/>
      </c>
    </row>
    <row r="23">
      <c r="A23" s="7" t="inlineStr">
        <is>
          <t>Operating Income (Loss) 经营利润(亏损)</t>
        </is>
      </c>
      <c r="B23" s="43" t="n">
        <v>-4095</v>
      </c>
      <c r="C23" s="43" t="n">
        <v>-4444</v>
      </c>
      <c r="D23" s="43" t="n">
        <v>-7515</v>
      </c>
      <c r="E23" s="44">
        <f>E22*Assumptions!$I$56</f>
        <v/>
      </c>
      <c r="F23" s="44">
        <f>F22*Assumptions!$I$56</f>
        <v/>
      </c>
      <c r="G23" s="44">
        <f>G22*Assumptions!$I$56</f>
        <v/>
      </c>
      <c r="H23" s="44">
        <f>H22*Assumptions!$I$56</f>
        <v/>
      </c>
      <c r="I23" s="44">
        <f>I22*Assumptions!$I$56</f>
        <v/>
      </c>
      <c r="K23" s="22" t="inlineStr">
        <is>
          <t>Revenue×OI Margin%, 前沿业务持续亏损</t>
        </is>
      </c>
    </row>
    <row r="24">
      <c r="A24" s="49" t="inlineStr">
        <is>
          <t>Implied Costs 隐含成本 (=Rev-OI)</t>
        </is>
      </c>
      <c r="B24" s="44">
        <f>B22-B23</f>
        <v/>
      </c>
      <c r="C24" s="44">
        <f>C22-C23</f>
        <v/>
      </c>
      <c r="D24" s="44">
        <f>D22-D23</f>
        <v/>
      </c>
      <c r="E24" s="44">
        <f>E22-E23</f>
        <v/>
      </c>
      <c r="F24" s="44">
        <f>F22-F23</f>
        <v/>
      </c>
      <c r="G24" s="44">
        <f>G22-G23</f>
        <v/>
      </c>
      <c r="H24" s="44">
        <f>H22-H23</f>
        <v/>
      </c>
      <c r="I24" s="44">
        <f>I22-I23</f>
        <v/>
      </c>
    </row>
    <row r="25">
      <c r="A25" s="12" t="inlineStr">
        <is>
          <t xml:space="preserve">  Op Margin</t>
        </is>
      </c>
      <c r="B25" s="10">
        <f>B23/B22</f>
        <v/>
      </c>
      <c r="C25" s="10">
        <f>C23/C22</f>
        <v/>
      </c>
      <c r="D25" s="10">
        <f>D23/D22</f>
        <v/>
      </c>
      <c r="E25" s="10">
        <f>E23/E22</f>
        <v/>
      </c>
      <c r="F25" s="10">
        <f>F23/F22</f>
        <v/>
      </c>
      <c r="G25" s="10">
        <f>G23/G22</f>
        <v/>
      </c>
      <c r="H25" s="10">
        <f>H23/H22</f>
        <v/>
      </c>
      <c r="I25" s="10">
        <f>I23/I22</f>
        <v/>
      </c>
    </row>
    <row r="27">
      <c r="A27" s="14" t="inlineStr">
        <is>
          <t>Alphabet-level 未分配(AI研发+企业费用)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7" t="inlineStr">
        <is>
          <t>Unallocated Costs 未分配费用</t>
        </is>
      </c>
      <c r="B28" s="43" t="n">
        <v>-9186</v>
      </c>
      <c r="C28" s="43" t="n">
        <v>-10541</v>
      </c>
      <c r="D28" s="43" t="n">
        <v>-16760</v>
      </c>
      <c r="E28" s="44">
        <f>-Assumptions!$I$57</f>
        <v/>
      </c>
      <c r="F28" s="44">
        <f>-Assumptions!$I$57</f>
        <v/>
      </c>
      <c r="G28" s="44">
        <f>-Assumptions!$I$57</f>
        <v/>
      </c>
      <c r="H28" s="44">
        <f>-Assumptions!$I$57</f>
        <v/>
      </c>
      <c r="I28" s="44">
        <f>-Assumptions!$I$57</f>
        <v/>
      </c>
      <c r="K28" s="22" t="inlineStr">
        <is>
          <t>未分配AI研发+企业管理费用</t>
        </is>
      </c>
    </row>
    <row r="29">
      <c r="A29" s="12" t="inlineStr">
        <is>
          <t xml:space="preserve">  % of Total Revenue</t>
        </is>
      </c>
      <c r="B29" s="10">
        <f>B28/Segment_Revenue!B31</f>
        <v/>
      </c>
      <c r="C29" s="10">
        <f>C28/Segment_Revenue!C31</f>
        <v/>
      </c>
      <c r="D29" s="10">
        <f>D28/Segment_Revenue!D31</f>
        <v/>
      </c>
      <c r="E29" s="10">
        <f>E28/Segment_Revenue!E31</f>
        <v/>
      </c>
      <c r="F29" s="10">
        <f>F28/Segment_Revenue!F31</f>
        <v/>
      </c>
      <c r="G29" s="10">
        <f>G28/Segment_Revenue!G31</f>
        <v/>
      </c>
      <c r="H29" s="10">
        <f>H28/Segment_Revenue!H31</f>
        <v/>
      </c>
      <c r="I29" s="10">
        <f>I28/Segment_Revenue!I31</f>
        <v/>
      </c>
    </row>
    <row r="31">
      <c r="A31" s="14" t="inlineStr">
        <is>
          <t>Cross-Check 交叉验证: Sum of Segment OI vs Consolidated EBIT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7" t="inlineStr">
        <is>
          <t>Sum of Segment OI 分部OI汇总</t>
        </is>
      </c>
      <c r="B32" s="44">
        <f>B10+B18+B23+B28</f>
        <v/>
      </c>
      <c r="C32" s="44">
        <f>C10+C18+C23+C28</f>
        <v/>
      </c>
      <c r="D32" s="44">
        <f>D10+D18+D23+D28</f>
        <v/>
      </c>
      <c r="E32" s="44">
        <f>E10+E18+E23+E28</f>
        <v/>
      </c>
      <c r="F32" s="44">
        <f>F10+F18+F23+F28</f>
        <v/>
      </c>
      <c r="G32" s="44">
        <f>G10+G18+G23+G28</f>
        <v/>
      </c>
      <c r="H32" s="44">
        <f>H10+H18+H23+H28</f>
        <v/>
      </c>
      <c r="I32" s="44">
        <f>I10+I18+I23+I28</f>
        <v/>
      </c>
      <c r="K32" s="22" t="inlineStr">
        <is>
          <t>Services+Cloud+OtherBets+Alphabet-level</t>
        </is>
      </c>
    </row>
    <row r="33">
      <c r="A33" s="7" t="inlineStr">
        <is>
          <t>Consolidated EBIT (from Consolidated_PL)</t>
        </is>
      </c>
      <c r="B33" s="8">
        <f>Consolidated_PL!B26</f>
        <v/>
      </c>
      <c r="C33" s="8">
        <f>Consolidated_PL!C26</f>
        <v/>
      </c>
      <c r="D33" s="8">
        <f>Consolidated_PL!D26</f>
        <v/>
      </c>
      <c r="E33" s="8">
        <f>Consolidated_PL!E26</f>
        <v/>
      </c>
      <c r="F33" s="8">
        <f>Consolidated_PL!F26</f>
        <v/>
      </c>
      <c r="G33" s="8">
        <f>Consolidated_PL!G26</f>
        <v/>
      </c>
      <c r="H33" s="8">
        <f>Consolidated_PL!H26</f>
        <v/>
      </c>
      <c r="I33" s="8">
        <f>Consolidated_PL!I26</f>
        <v/>
      </c>
    </row>
    <row r="34">
      <c r="A34" s="50" t="inlineStr">
        <is>
          <t>Difference 差异 (should = 0)</t>
        </is>
      </c>
      <c r="B34" s="51">
        <f>B32-B33</f>
        <v/>
      </c>
      <c r="C34" s="51">
        <f>C32-C33</f>
        <v/>
      </c>
      <c r="D34" s="51">
        <f>D32-D33</f>
        <v/>
      </c>
      <c r="E34" s="51">
        <f>E32-E33</f>
        <v/>
      </c>
      <c r="F34" s="51">
        <f>F32-F33</f>
        <v/>
      </c>
      <c r="G34" s="51">
        <f>G32-G33</f>
        <v/>
      </c>
      <c r="H34" s="51">
        <f>H32-H33</f>
        <v/>
      </c>
      <c r="I34" s="51">
        <f>I32-I33</f>
        <v/>
      </c>
      <c r="K34" s="22" t="inlineStr">
        <is>
          <t>应为0，否则分部与合并口径不一致</t>
        </is>
      </c>
    </row>
    <row r="37">
      <c r="A37" s="17" t="inlineStr">
        <is>
          <t>数据图例 Data Legend:</t>
        </is>
      </c>
    </row>
    <row r="38">
      <c r="A38" s="16" t="inlineStr">
        <is>
          <t xml:space="preserve">  蓝色字体 Blue Font = 财报原始数据 Hardcoded from financials</t>
        </is>
      </c>
    </row>
    <row r="39">
      <c r="A39" s="16" t="inlineStr">
        <is>
          <t xml:space="preserve">  绿色字体 Green Font = 链接自其他工作表 Links from other sheets</t>
        </is>
      </c>
    </row>
    <row r="40">
      <c r="A40" s="16" t="inlineStr">
        <is>
          <t xml:space="preserve">  蓝底深蓝字体 Blue Fill = 可编辑假设 Editable assumption inputs</t>
        </is>
      </c>
    </row>
    <row r="41">
      <c r="A41" s="16" t="inlineStr">
        <is>
          <t xml:space="preserve">  黄底粗体 Yellow Fill = 关键输出 Key output rows</t>
        </is>
      </c>
    </row>
    <row r="42">
      <c r="A42" s="16" t="inlineStr">
        <is>
          <t xml:space="preserve">  黑色字体 Black Font = 公式计算 Calculated from formulas</t>
        </is>
      </c>
    </row>
    <row r="44">
      <c r="A44" s="17" t="inlineStr">
        <is>
          <t>数据来源 Data Sources:</t>
        </is>
      </c>
    </row>
    <row r="45">
      <c r="A45" s="16" t="inlineStr">
        <is>
          <t xml:space="preserve">  • Alphabet 2025 10-K Annual Report (filed Feb 4, 2026) - Consolidated Financial Statements pp.48-52</t>
        </is>
      </c>
    </row>
    <row r="46">
      <c r="A46" s="16" t="inlineStr">
        <is>
          <t xml:space="preserve">  • Alphabet 2025 10-K Note 15: Segment Information (Google Services, Cloud, Other Bets)</t>
        </is>
      </c>
    </row>
    <row r="47">
      <c r="A47" s="16" t="inlineStr">
        <is>
          <t xml:space="preserve">  • Q4 2025 Earnings Call (Feb 4, 2026): CapEx 2026 guidance $75B (single quarter) → annualized ~$180B</t>
        </is>
      </c>
    </row>
    <row r="48">
      <c r="A48" s="16" t="inlineStr">
        <is>
          <t xml:space="preserve">  • 10Y UST yield ~4.2% (Feb 2026), Fed 2% long-term inflation target</t>
        </is>
      </c>
    </row>
  </sheetData>
  <mergeCells count="5">
    <mergeCell ref="A21:K21"/>
    <mergeCell ref="A13:K13"/>
    <mergeCell ref="A5:K5"/>
    <mergeCell ref="A27:K27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8" customWidth="1" min="11" max="11"/>
  </cols>
  <sheetData>
    <row r="1">
      <c r="A1" s="4" t="inlineStr">
        <is>
          <t>Consolidated Income Statement 合并利润表 (USD mm)</t>
        </is>
      </c>
    </row>
    <row r="2">
      <c r="A2" s="5" t="inlineStr">
        <is>
          <t>Source: 10-K p.49</t>
        </is>
      </c>
    </row>
    <row r="3">
      <c r="A3" s="42" t="n"/>
      <c r="B3" s="6" t="n">
        <v>2023</v>
      </c>
      <c r="C3" s="6" t="n">
        <v>2024</v>
      </c>
      <c r="D3" s="6" t="n">
        <v>2025</v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6" t="inlineStr">
        <is>
          <t>2029E</t>
        </is>
      </c>
      <c r="I3" s="6" t="inlineStr">
        <is>
          <t>2030E</t>
        </is>
      </c>
      <c r="K3" s="6" t="inlineStr">
        <is>
          <t>Notes / 预测逻辑</t>
        </is>
      </c>
    </row>
    <row r="5">
      <c r="A5" s="47" t="inlineStr">
        <is>
          <t>Total Revenue 总收入</t>
        </is>
      </c>
      <c r="B5" s="52">
        <f>Segment_Revenue!B31</f>
        <v/>
      </c>
      <c r="C5" s="52">
        <f>Segment_Revenue!C31</f>
        <v/>
      </c>
      <c r="D5" s="52">
        <f>Segment_Revenue!D31</f>
        <v/>
      </c>
      <c r="E5" s="52">
        <f>Segment_Revenue!E31</f>
        <v/>
      </c>
      <c r="F5" s="52">
        <f>Segment_Revenue!F31</f>
        <v/>
      </c>
      <c r="G5" s="52">
        <f>Segment_Revenue!G31</f>
        <v/>
      </c>
      <c r="H5" s="52">
        <f>Segment_Revenue!H31</f>
        <v/>
      </c>
      <c r="I5" s="52">
        <f>Segment_Revenue!I31</f>
        <v/>
      </c>
      <c r="K5" s="22" t="inlineStr">
        <is>
          <t>链接自Segment_Revenue</t>
        </is>
      </c>
    </row>
    <row r="6">
      <c r="A6" s="12" t="inlineStr">
        <is>
          <t xml:space="preserve">  yoy %</t>
        </is>
      </c>
      <c r="C6" s="10">
        <f>C5/B5-1</f>
        <v/>
      </c>
      <c r="D6" s="10">
        <f>D5/C5-1</f>
        <v/>
      </c>
      <c r="E6" s="10">
        <f>E5/D5-1</f>
        <v/>
      </c>
      <c r="F6" s="10">
        <f>F5/E5-1</f>
        <v/>
      </c>
      <c r="G6" s="10">
        <f>G5/F5-1</f>
        <v/>
      </c>
      <c r="H6" s="10">
        <f>H5/G5-1</f>
        <v/>
      </c>
      <c r="I6" s="10">
        <f>I5/H5-1</f>
        <v/>
      </c>
    </row>
    <row r="7">
      <c r="A7" s="49" t="inlineStr">
        <is>
          <t xml:space="preserve">  Google Advertising Rev (memo) 广告收入</t>
        </is>
      </c>
      <c r="B7" s="8">
        <f>Segment_Revenue!B13</f>
        <v/>
      </c>
      <c r="C7" s="8">
        <f>Segment_Revenue!C13</f>
        <v/>
      </c>
      <c r="D7" s="8">
        <f>Segment_Revenue!D13</f>
        <v/>
      </c>
      <c r="E7" s="8">
        <f>Segment_Revenue!E13</f>
        <v/>
      </c>
      <c r="F7" s="8">
        <f>Segment_Revenue!F13</f>
        <v/>
      </c>
      <c r="G7" s="8">
        <f>Segment_Revenue!G13</f>
        <v/>
      </c>
      <c r="H7" s="8">
        <f>Segment_Revenue!H13</f>
        <v/>
      </c>
      <c r="I7" s="8">
        <f>Segment_Revenue!I13</f>
        <v/>
      </c>
      <c r="K7" s="22" t="inlineStr">
        <is>
          <t>用于计算TAC</t>
        </is>
      </c>
    </row>
    <row r="9">
      <c r="A9" s="14" t="inlineStr">
        <is>
          <t>Cost of Revenues 营业成本 (COGS)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49" t="inlineStr">
        <is>
          <t xml:space="preserve">  TAC 流量获取成本</t>
        </is>
      </c>
      <c r="B10" s="43" t="n">
        <v>49316</v>
      </c>
      <c r="C10" s="43" t="n">
        <v>54900</v>
      </c>
      <c r="D10" s="43" t="n">
        <v>59926</v>
      </c>
      <c r="E10" s="44">
        <f>E7*Assumptions!$I$61</f>
        <v/>
      </c>
      <c r="F10" s="44">
        <f>F7*Assumptions!$I$61</f>
        <v/>
      </c>
      <c r="G10" s="44">
        <f>G7*Assumptions!$I$61</f>
        <v/>
      </c>
      <c r="H10" s="44">
        <f>H7*Assumptions!$I$61</f>
        <v/>
      </c>
      <c r="I10" s="44">
        <f>I7*Assumptions!$I$61</f>
        <v/>
      </c>
      <c r="K10" s="22" t="inlineStr">
        <is>
          <t>Ad Revenue×TAC Rate</t>
        </is>
      </c>
    </row>
    <row r="11">
      <c r="A11" s="12" t="inlineStr">
        <is>
          <t xml:space="preserve">    TAC rate (% of Ad Rev)</t>
        </is>
      </c>
      <c r="B11" s="10">
        <f>B10/B7</f>
        <v/>
      </c>
      <c r="C11" s="10">
        <f>C10/C7</f>
        <v/>
      </c>
      <c r="D11" s="10">
        <f>D10/D7</f>
        <v/>
      </c>
      <c r="E11" s="10">
        <f>E10/E7</f>
        <v/>
      </c>
      <c r="F11" s="10">
        <f>F10/F7</f>
        <v/>
      </c>
      <c r="G11" s="10">
        <f>G10/G7</f>
        <v/>
      </c>
      <c r="H11" s="10">
        <f>H10/H7</f>
        <v/>
      </c>
      <c r="I11" s="10">
        <f>I10/I7</f>
        <v/>
      </c>
    </row>
    <row r="12">
      <c r="A12" s="49" t="inlineStr">
        <is>
          <t xml:space="preserve">  Other Cost of Revenues 其他营业成本</t>
        </is>
      </c>
      <c r="B12" s="43" t="n">
        <v>84016</v>
      </c>
      <c r="C12" s="43" t="n">
        <v>91406</v>
      </c>
      <c r="D12" s="43" t="n">
        <v>102609</v>
      </c>
      <c r="E12" s="44">
        <f>E5*Assumptions!$I$62</f>
        <v/>
      </c>
      <c r="F12" s="44">
        <f>F5*Assumptions!$I$62</f>
        <v/>
      </c>
      <c r="G12" s="44">
        <f>G5*Assumptions!$I$62</f>
        <v/>
      </c>
      <c r="H12" s="44">
        <f>H5*Assumptions!$I$62</f>
        <v/>
      </c>
      <c r="I12" s="44">
        <f>I5*Assumptions!$I$62</f>
        <v/>
      </c>
      <c r="K12" s="22" t="inlineStr">
        <is>
          <t>基础设施折旧/内容/数据中心运营</t>
        </is>
      </c>
    </row>
    <row r="13">
      <c r="A13" s="12" t="inlineStr">
        <is>
          <t xml:space="preserve">    Other COGS %</t>
        </is>
      </c>
      <c r="B13" s="10">
        <f>B12/B5</f>
        <v/>
      </c>
      <c r="C13" s="10">
        <f>C12/C5</f>
        <v/>
      </c>
      <c r="D13" s="10">
        <f>D12/D5</f>
        <v/>
      </c>
      <c r="E13" s="10">
        <f>E12/E5</f>
        <v/>
      </c>
      <c r="F13" s="10">
        <f>F12/F5</f>
        <v/>
      </c>
      <c r="G13" s="10">
        <f>G12/G5</f>
        <v/>
      </c>
      <c r="H13" s="10">
        <f>H12/H5</f>
        <v/>
      </c>
      <c r="I13" s="10">
        <f>I12/I5</f>
        <v/>
      </c>
    </row>
    <row r="14">
      <c r="A14" s="7" t="inlineStr">
        <is>
          <t>Total COGS 营业成本合计</t>
        </is>
      </c>
      <c r="B14" s="44">
        <f>B10+B12</f>
        <v/>
      </c>
      <c r="C14" s="44">
        <f>C10+C12</f>
        <v/>
      </c>
      <c r="D14" s="44">
        <f>D10+D12</f>
        <v/>
      </c>
      <c r="E14" s="44">
        <f>E10+E12</f>
        <v/>
      </c>
      <c r="F14" s="44">
        <f>F10+F12</f>
        <v/>
      </c>
      <c r="G14" s="44">
        <f>G10+G12</f>
        <v/>
      </c>
      <c r="H14" s="44">
        <f>H10+H12</f>
        <v/>
      </c>
      <c r="I14" s="44">
        <f>I10+I12</f>
        <v/>
      </c>
    </row>
    <row r="15">
      <c r="A15" s="45" t="inlineStr">
        <is>
          <t>Gross Profit 毛利润</t>
        </is>
      </c>
      <c r="B15" s="46">
        <f>B5-B14</f>
        <v/>
      </c>
      <c r="C15" s="46">
        <f>C5-C14</f>
        <v/>
      </c>
      <c r="D15" s="46">
        <f>D5-D14</f>
        <v/>
      </c>
      <c r="E15" s="46">
        <f>E5-E14</f>
        <v/>
      </c>
      <c r="F15" s="46">
        <f>F5-F14</f>
        <v/>
      </c>
      <c r="G15" s="46">
        <f>G5-G14</f>
        <v/>
      </c>
      <c r="H15" s="46">
        <f>H5-H14</f>
        <v/>
      </c>
      <c r="I15" s="46">
        <f>I5-I14</f>
        <v/>
      </c>
      <c r="K15" s="22" t="inlineStr">
        <is>
          <t>Revenue-COGS</t>
        </is>
      </c>
    </row>
    <row r="16">
      <c r="A16" s="12" t="inlineStr">
        <is>
          <t xml:space="preserve">  Gross Margin 毛利率</t>
        </is>
      </c>
      <c r="B16" s="10">
        <f>B15/B5</f>
        <v/>
      </c>
      <c r="C16" s="10">
        <f>C15/C5</f>
        <v/>
      </c>
      <c r="D16" s="10">
        <f>D15/D5</f>
        <v/>
      </c>
      <c r="E16" s="10">
        <f>E15/E5</f>
        <v/>
      </c>
      <c r="F16" s="10">
        <f>F15/F5</f>
        <v/>
      </c>
      <c r="G16" s="10">
        <f>G15/G5</f>
        <v/>
      </c>
      <c r="H16" s="10">
        <f>H15/H5</f>
        <v/>
      </c>
      <c r="I16" s="10">
        <f>I15/I5</f>
        <v/>
      </c>
    </row>
    <row r="18">
      <c r="A18" s="14" t="inlineStr">
        <is>
          <t>Operating Expenses 营业费用 (OpEx)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49" t="inlineStr">
        <is>
          <t xml:space="preserve">  R&amp;D 研发费用</t>
        </is>
      </c>
      <c r="B19" s="43" t="n">
        <v>45427</v>
      </c>
      <c r="C19" s="43" t="n">
        <v>49326</v>
      </c>
      <c r="D19" s="43" t="n">
        <v>61087</v>
      </c>
      <c r="E19" s="44">
        <f>E5*Assumptions!$I$63</f>
        <v/>
      </c>
      <c r="F19" s="44">
        <f>F5*Assumptions!$I$63</f>
        <v/>
      </c>
      <c r="G19" s="44">
        <f>G5*Assumptions!$I$63</f>
        <v/>
      </c>
      <c r="H19" s="44">
        <f>H5*Assumptions!$I$63</f>
        <v/>
      </c>
      <c r="I19" s="44">
        <f>I5*Assumptions!$I$63</f>
        <v/>
      </c>
      <c r="K19" s="22" t="inlineStr">
        <is>
          <t>AI+Cloud持续投入，规模效应显现</t>
        </is>
      </c>
    </row>
    <row r="20">
      <c r="A20" s="12" t="inlineStr">
        <is>
          <t xml:space="preserve">    R&amp;D 研发费用 %</t>
        </is>
      </c>
      <c r="B20" s="10">
        <f>B19/B5</f>
        <v/>
      </c>
      <c r="C20" s="10">
        <f>C19/C5</f>
        <v/>
      </c>
      <c r="D20" s="10">
        <f>D19/D5</f>
        <v/>
      </c>
      <c r="E20" s="10">
        <f>E19/E5</f>
        <v/>
      </c>
      <c r="F20" s="10">
        <f>F19/F5</f>
        <v/>
      </c>
      <c r="G20" s="10">
        <f>G19/G5</f>
        <v/>
      </c>
      <c r="H20" s="10">
        <f>H19/H5</f>
        <v/>
      </c>
      <c r="I20" s="10">
        <f>I19/I5</f>
        <v/>
      </c>
    </row>
    <row r="21">
      <c r="A21" s="49" t="inlineStr">
        <is>
          <t xml:space="preserve">  S&amp;M 销售与营销费用</t>
        </is>
      </c>
      <c r="B21" s="43" t="n">
        <v>27917</v>
      </c>
      <c r="C21" s="43" t="n">
        <v>27808</v>
      </c>
      <c r="D21" s="43" t="n">
        <v>28693</v>
      </c>
      <c r="E21" s="44">
        <f>E5*Assumptions!$I$64</f>
        <v/>
      </c>
      <c r="F21" s="44">
        <f>F5*Assumptions!$I$64</f>
        <v/>
      </c>
      <c r="G21" s="44">
        <f>G5*Assumptions!$I$64</f>
        <v/>
      </c>
      <c r="H21" s="44">
        <f>H5*Assumptions!$I$64</f>
        <v/>
      </c>
      <c r="I21" s="44">
        <f>I5*Assumptions!$I$64</f>
        <v/>
      </c>
      <c r="K21" s="22" t="inlineStr">
        <is>
          <t>效率提升，费率持续下降</t>
        </is>
      </c>
    </row>
    <row r="22">
      <c r="A22" s="12" t="inlineStr">
        <is>
          <t xml:space="preserve">    S&amp;M 销售与营销费用 %</t>
        </is>
      </c>
      <c r="B22" s="10">
        <f>B21/B5</f>
        <v/>
      </c>
      <c r="C22" s="10">
        <f>C21/C5</f>
        <v/>
      </c>
      <c r="D22" s="10">
        <f>D21/D5</f>
        <v/>
      </c>
      <c r="E22" s="10">
        <f>E21/E5</f>
        <v/>
      </c>
      <c r="F22" s="10">
        <f>F21/F5</f>
        <v/>
      </c>
      <c r="G22" s="10">
        <f>G21/G5</f>
        <v/>
      </c>
      <c r="H22" s="10">
        <f>H21/H5</f>
        <v/>
      </c>
      <c r="I22" s="10">
        <f>I21/I5</f>
        <v/>
      </c>
    </row>
    <row r="23">
      <c r="A23" s="49" t="inlineStr">
        <is>
          <t xml:space="preserve">  G&amp;A 管理费用 (含一次性项目)</t>
        </is>
      </c>
      <c r="B23" s="43" t="n">
        <v>16425</v>
      </c>
      <c r="C23" s="43" t="n">
        <v>14188</v>
      </c>
      <c r="D23" s="43" t="n">
        <v>21482</v>
      </c>
      <c r="E23" s="44">
        <f>E5*Assumptions!$I$65</f>
        <v/>
      </c>
      <c r="F23" s="44">
        <f>F5*Assumptions!$I$65</f>
        <v/>
      </c>
      <c r="G23" s="44">
        <f>G5*Assumptions!$I$65</f>
        <v/>
      </c>
      <c r="H23" s="44">
        <f>H5*Assumptions!$I$65</f>
        <v/>
      </c>
      <c r="I23" s="44">
        <f>I5*Assumptions!$I$65</f>
        <v/>
      </c>
      <c r="K23" s="22" t="inlineStr">
        <is>
          <t>2025含DOJ诉讼拨备，正常化后下降</t>
        </is>
      </c>
    </row>
    <row r="24">
      <c r="A24" s="12" t="inlineStr">
        <is>
          <t xml:space="preserve">    G&amp;A 管理费用 %</t>
        </is>
      </c>
      <c r="B24" s="10">
        <f>B23/B5</f>
        <v/>
      </c>
      <c r="C24" s="10">
        <f>C23/C5</f>
        <v/>
      </c>
      <c r="D24" s="10">
        <f>D23/D5</f>
        <v/>
      </c>
      <c r="E24" s="10">
        <f>E23/E5</f>
        <v/>
      </c>
      <c r="F24" s="10">
        <f>F23/F5</f>
        <v/>
      </c>
      <c r="G24" s="10">
        <f>G23/G5</f>
        <v/>
      </c>
      <c r="H24" s="10">
        <f>H23/H5</f>
        <v/>
      </c>
      <c r="I24" s="10">
        <f>I23/I5</f>
        <v/>
      </c>
    </row>
    <row r="25">
      <c r="A25" s="7" t="inlineStr">
        <is>
          <t>Estimated Total OpEx (R&amp;D+S&amp;M+G&amp;A) 营业费用合计</t>
        </is>
      </c>
      <c r="B25" s="44">
        <f>B19+B21+B23</f>
        <v/>
      </c>
      <c r="C25" s="44">
        <f>C19+C21+C23</f>
        <v/>
      </c>
      <c r="D25" s="44">
        <f>D19+D21+D23</f>
        <v/>
      </c>
      <c r="E25" s="44">
        <f>E19+E21+E23</f>
        <v/>
      </c>
      <c r="F25" s="44">
        <f>F19+F21+F23</f>
        <v/>
      </c>
      <c r="G25" s="44">
        <f>G19+G21+G23</f>
        <v/>
      </c>
      <c r="H25" s="44">
        <f>H19+H21+H23</f>
        <v/>
      </c>
      <c r="I25" s="44">
        <f>I19+I21+I23</f>
        <v/>
      </c>
      <c r="K25" s="22" t="inlineStr">
        <is>
          <t>参考性合计，EBIT由分部OI驱动</t>
        </is>
      </c>
    </row>
    <row r="26">
      <c r="A26" s="47" t="inlineStr">
        <is>
          <t>EBIT 经营利润 (=Sum of Segment OI)</t>
        </is>
      </c>
      <c r="B26" s="52">
        <f>Segment_PL!B32</f>
        <v/>
      </c>
      <c r="C26" s="52">
        <f>Segment_PL!C32</f>
        <v/>
      </c>
      <c r="D26" s="52">
        <f>Segment_PL!D32</f>
        <v/>
      </c>
      <c r="E26" s="52">
        <f>Segment_PL!E32</f>
        <v/>
      </c>
      <c r="F26" s="52">
        <f>Segment_PL!F32</f>
        <v/>
      </c>
      <c r="G26" s="52">
        <f>Segment_PL!G32</f>
        <v/>
      </c>
      <c r="H26" s="52">
        <f>Segment_PL!H32</f>
        <v/>
      </c>
      <c r="I26" s="52">
        <f>Segment_PL!I32</f>
        <v/>
      </c>
      <c r="K26" s="22" t="inlineStr">
        <is>
          <t>分部驱动：链接自Segment_PL汇总OI</t>
        </is>
      </c>
    </row>
    <row r="27">
      <c r="A27" s="12" t="inlineStr">
        <is>
          <t xml:space="preserve">  EBIT Margin 经营利润率</t>
        </is>
      </c>
      <c r="B27" s="10">
        <f>B26/B5</f>
        <v/>
      </c>
      <c r="C27" s="10">
        <f>C26/C5</f>
        <v/>
      </c>
      <c r="D27" s="10">
        <f>D26/D5</f>
        <v/>
      </c>
      <c r="E27" s="10">
        <f>E26/E5</f>
        <v/>
      </c>
      <c r="F27" s="10">
        <f>F26/F5</f>
        <v/>
      </c>
      <c r="G27" s="10">
        <f>G26/G5</f>
        <v/>
      </c>
      <c r="H27" s="10">
        <f>H26/H5</f>
        <v/>
      </c>
      <c r="I27" s="10">
        <f>I26/I5</f>
        <v/>
      </c>
    </row>
    <row r="28">
      <c r="A28" s="12" t="inlineStr">
        <is>
          <t xml:space="preserve">  Implied OpEx (=GP-EBIT) 隐含OpEx</t>
        </is>
      </c>
      <c r="B28" s="53">
        <f>B15-B26</f>
        <v/>
      </c>
      <c r="C28" s="53">
        <f>C15-C26</f>
        <v/>
      </c>
      <c r="D28" s="53">
        <f>D15-D26</f>
        <v/>
      </c>
      <c r="E28" s="53">
        <f>E15-E26</f>
        <v/>
      </c>
      <c r="F28" s="53">
        <f>F15-F26</f>
        <v/>
      </c>
      <c r="G28" s="53">
        <f>G15-G26</f>
        <v/>
      </c>
      <c r="H28" s="53">
        <f>H15-H26</f>
        <v/>
      </c>
      <c r="I28" s="53">
        <f>I15-I26</f>
        <v/>
      </c>
    </row>
    <row r="30">
      <c r="A30" s="49" t="inlineStr">
        <is>
          <t>OI&amp;E 其他收入/(支出)</t>
        </is>
      </c>
      <c r="B30" s="43" t="n">
        <v>1424</v>
      </c>
      <c r="C30" s="43" t="n">
        <v>7425</v>
      </c>
      <c r="D30" s="43" t="n">
        <v>29787</v>
      </c>
      <c r="E30" s="32" t="n">
        <v>5000</v>
      </c>
      <c r="F30" s="32" t="n">
        <v>5500</v>
      </c>
      <c r="G30" s="32" t="n">
        <v>6000</v>
      </c>
      <c r="H30" s="32" t="n">
        <v>6500</v>
      </c>
      <c r="I30" s="32" t="n">
        <v>7000</v>
      </c>
      <c r="K30" s="22" t="inlineStr">
        <is>
          <t>2025含$24B非上市证券估值收益(一次性)</t>
        </is>
      </c>
    </row>
    <row r="31">
      <c r="A31" s="7" t="inlineStr">
        <is>
          <t>Pre-tax Income 税前利润</t>
        </is>
      </c>
      <c r="B31" s="44">
        <f>B26+B30</f>
        <v/>
      </c>
      <c r="C31" s="44">
        <f>C26+C30</f>
        <v/>
      </c>
      <c r="D31" s="44">
        <f>D26+D30</f>
        <v/>
      </c>
      <c r="E31" s="44">
        <f>E26+E30</f>
        <v/>
      </c>
      <c r="F31" s="44">
        <f>F26+F30</f>
        <v/>
      </c>
      <c r="G31" s="44">
        <f>G26+G30</f>
        <v/>
      </c>
      <c r="H31" s="44">
        <f>H26+H30</f>
        <v/>
      </c>
      <c r="I31" s="44">
        <f>I26+I30</f>
        <v/>
      </c>
    </row>
    <row r="32">
      <c r="A32" s="49" t="inlineStr">
        <is>
          <t>Income Tax 所得税</t>
        </is>
      </c>
      <c r="B32" s="43" t="n">
        <v>11922</v>
      </c>
      <c r="C32" s="43" t="n">
        <v>19697</v>
      </c>
      <c r="D32" s="43" t="n">
        <v>26656</v>
      </c>
      <c r="E32" s="44">
        <f>E31*Assumptions!$I$11</f>
        <v/>
      </c>
      <c r="F32" s="44">
        <f>F31*Assumptions!$I$11</f>
        <v/>
      </c>
      <c r="G32" s="44">
        <f>G31*Assumptions!$I$11</f>
        <v/>
      </c>
      <c r="H32" s="44">
        <f>H31*Assumptions!$I$11</f>
        <v/>
      </c>
      <c r="I32" s="44">
        <f>I31*Assumptions!$I$11</f>
        <v/>
      </c>
      <c r="K32" s="22" t="inlineStr">
        <is>
          <t>Pre-tax Income×ETR</t>
        </is>
      </c>
    </row>
    <row r="33">
      <c r="A33" s="47" t="inlineStr">
        <is>
          <t>Net Income 净利润</t>
        </is>
      </c>
      <c r="B33" s="48">
        <f>B31-B32</f>
        <v/>
      </c>
      <c r="C33" s="48">
        <f>C31-C32</f>
        <v/>
      </c>
      <c r="D33" s="48">
        <f>D31-D32</f>
        <v/>
      </c>
      <c r="E33" s="48">
        <f>E31-E32</f>
        <v/>
      </c>
      <c r="F33" s="48">
        <f>F31-F32</f>
        <v/>
      </c>
      <c r="G33" s="48">
        <f>G31-G32</f>
        <v/>
      </c>
      <c r="H33" s="48">
        <f>H31-H32</f>
        <v/>
      </c>
      <c r="I33" s="48">
        <f>I31-I32</f>
        <v/>
      </c>
      <c r="K33" s="22" t="inlineStr">
        <is>
          <t>Pre-tax - Tax</t>
        </is>
      </c>
    </row>
    <row r="34">
      <c r="A34" s="12" t="inlineStr">
        <is>
          <t xml:space="preserve">  Net Margin 净利率</t>
        </is>
      </c>
      <c r="B34" s="10">
        <f>B33/B5</f>
        <v/>
      </c>
      <c r="C34" s="10">
        <f>C33/C5</f>
        <v/>
      </c>
      <c r="D34" s="10">
        <f>D33/D5</f>
        <v/>
      </c>
      <c r="E34" s="10">
        <f>E33/E5</f>
        <v/>
      </c>
      <c r="F34" s="10">
        <f>F33/F5</f>
        <v/>
      </c>
      <c r="G34" s="10">
        <f>G33/G5</f>
        <v/>
      </c>
      <c r="H34" s="10">
        <f>H33/H5</f>
        <v/>
      </c>
      <c r="I34" s="10">
        <f>I33/I5</f>
        <v/>
      </c>
    </row>
    <row r="35">
      <c r="A35" s="12" t="inlineStr">
        <is>
          <t xml:space="preserve">  NI yoy %</t>
        </is>
      </c>
      <c r="C35" s="10">
        <f>C33/B33-1</f>
        <v/>
      </c>
      <c r="D35" s="10">
        <f>D33/C33-1</f>
        <v/>
      </c>
      <c r="E35" s="10">
        <f>E33/D33-1</f>
        <v/>
      </c>
      <c r="F35" s="10">
        <f>F33/E33-1</f>
        <v/>
      </c>
      <c r="G35" s="10">
        <f>G33/F33-1</f>
        <v/>
      </c>
      <c r="H35" s="10">
        <f>H33/G33-1</f>
        <v/>
      </c>
      <c r="I35" s="10">
        <f>I33/H33-1</f>
        <v/>
      </c>
    </row>
    <row r="37">
      <c r="A37" s="7" t="inlineStr">
        <is>
          <t>D&amp;A 折旧与摊销 (memo)</t>
        </is>
      </c>
      <c r="B37" s="43" t="n">
        <v>11946</v>
      </c>
      <c r="C37" s="43" t="n">
        <v>15311</v>
      </c>
      <c r="D37" s="43" t="n">
        <v>21136</v>
      </c>
      <c r="E37" s="44">
        <f>E5*Assumptions!$I$66</f>
        <v/>
      </c>
      <c r="F37" s="44">
        <f>F5*Assumptions!$I$66</f>
        <v/>
      </c>
      <c r="G37" s="44">
        <f>G5*Assumptions!$I$66</f>
        <v/>
      </c>
      <c r="H37" s="44">
        <f>H5*Assumptions!$I$66</f>
        <v/>
      </c>
      <c r="I37" s="44">
        <f>I5*Assumptions!$I$66</f>
        <v/>
      </c>
      <c r="K37" s="22" t="inlineStr">
        <is>
          <t>CapEx高增长→D&amp;A占比上升</t>
        </is>
      </c>
    </row>
    <row r="38">
      <c r="A38" s="7" t="inlineStr">
        <is>
          <t>SBC 股权激励 (memo)</t>
        </is>
      </c>
      <c r="B38" s="43" t="n">
        <v>22460</v>
      </c>
      <c r="C38" s="43" t="n">
        <v>22785</v>
      </c>
      <c r="D38" s="43" t="n">
        <v>24953</v>
      </c>
      <c r="E38" s="44">
        <f>E5*Assumptions!$I$67</f>
        <v/>
      </c>
      <c r="F38" s="44">
        <f>F5*Assumptions!$I$67</f>
        <v/>
      </c>
      <c r="G38" s="44">
        <f>G5*Assumptions!$I$67</f>
        <v/>
      </c>
      <c r="H38" s="44">
        <f>H5*Assumptions!$I$67</f>
        <v/>
      </c>
      <c r="I38" s="44">
        <f>I5*Assumptions!$I$67</f>
        <v/>
      </c>
      <c r="K38" s="22" t="inlineStr">
        <is>
          <t>SBC占比逐步下降</t>
        </is>
      </c>
    </row>
    <row r="40">
      <c r="A40" s="7" t="inlineStr">
        <is>
          <t>Diluted Shares 稀释股数 (mm)</t>
        </is>
      </c>
      <c r="B40" s="43" t="n">
        <v>12722</v>
      </c>
      <c r="C40" s="43" t="n">
        <v>12447</v>
      </c>
      <c r="D40" s="43" t="n">
        <v>12230</v>
      </c>
      <c r="E40" s="44">
        <f>D40*0.98</f>
        <v/>
      </c>
      <c r="F40" s="44">
        <f>E40*0.98</f>
        <v/>
      </c>
      <c r="G40" s="44">
        <f>F40*0.98</f>
        <v/>
      </c>
      <c r="H40" s="44">
        <f>G40*0.98</f>
        <v/>
      </c>
      <c r="I40" s="44">
        <f>H40*0.98</f>
        <v/>
      </c>
      <c r="K40" s="22" t="inlineStr">
        <is>
          <t>年回购~2%股本</t>
        </is>
      </c>
    </row>
    <row r="41">
      <c r="A41" s="47" t="inlineStr">
        <is>
          <t>Diluted EPS 稀释每股收益</t>
        </is>
      </c>
      <c r="B41" s="54">
        <f>B33/B40</f>
        <v/>
      </c>
      <c r="C41" s="54">
        <f>C33/C40</f>
        <v/>
      </c>
      <c r="D41" s="54">
        <f>D33/D40</f>
        <v/>
      </c>
      <c r="E41" s="54">
        <f>E33/E40</f>
        <v/>
      </c>
      <c r="F41" s="54">
        <f>F33/F40</f>
        <v/>
      </c>
      <c r="G41" s="54">
        <f>G33/G40</f>
        <v/>
      </c>
      <c r="H41" s="54">
        <f>H33/H40</f>
        <v/>
      </c>
      <c r="I41" s="54">
        <f>I33/I40</f>
        <v/>
      </c>
      <c r="K41" s="22" t="inlineStr">
        <is>
          <t>Net Income / Diluted Shares</t>
        </is>
      </c>
    </row>
    <row r="44">
      <c r="A44" s="17" t="inlineStr">
        <is>
          <t>数据图例 Data Legend:</t>
        </is>
      </c>
    </row>
    <row r="45">
      <c r="A45" s="16" t="inlineStr">
        <is>
          <t xml:space="preserve">  蓝色字体 Blue Font = 财报原始数据 Hardcoded from financials</t>
        </is>
      </c>
    </row>
    <row r="46">
      <c r="A46" s="16" t="inlineStr">
        <is>
          <t xml:space="preserve">  绿色字体 Green Font = 链接自其他工作表 Links from other sheets</t>
        </is>
      </c>
    </row>
    <row r="47">
      <c r="A47" s="16" t="inlineStr">
        <is>
          <t xml:space="preserve">  蓝底深蓝字体 Blue Fill = 可编辑假设 Editable assumption inputs</t>
        </is>
      </c>
    </row>
    <row r="48">
      <c r="A48" s="16" t="inlineStr">
        <is>
          <t xml:space="preserve">  黄底粗体 Yellow Fill = 关键输出 Key output rows</t>
        </is>
      </c>
    </row>
    <row r="49">
      <c r="A49" s="16" t="inlineStr">
        <is>
          <t xml:space="preserve">  黑色字体 Black Font = 公式计算 Calculated from formulas</t>
        </is>
      </c>
    </row>
    <row r="51">
      <c r="A51" s="17" t="inlineStr">
        <is>
          <t>数据来源 Data Sources:</t>
        </is>
      </c>
    </row>
    <row r="52">
      <c r="A52" s="16" t="inlineStr">
        <is>
          <t xml:space="preserve">  • Alphabet 2025 10-K Annual Report (filed Feb 4, 2026) - Consolidated Financial Statements pp.48-52</t>
        </is>
      </c>
    </row>
    <row r="53">
      <c r="A53" s="16" t="inlineStr">
        <is>
          <t xml:space="preserve">  • Alphabet 2025 10-K Note 15: Segment Information (Google Services, Cloud, Other Bets)</t>
        </is>
      </c>
    </row>
    <row r="54">
      <c r="A54" s="16" t="inlineStr">
        <is>
          <t xml:space="preserve">  • Q4 2025 Earnings Call (Feb 4, 2026): CapEx 2026 guidance $75B (single quarter) → annualized ~$180B</t>
        </is>
      </c>
    </row>
    <row r="55">
      <c r="A55" s="16" t="inlineStr">
        <is>
          <t xml:space="preserve">  • 10Y UST yield ~4.2% (Feb 2026), Fed 2% long-term inflation target</t>
        </is>
      </c>
    </row>
  </sheetData>
  <mergeCells count="2">
    <mergeCell ref="A18:K18"/>
    <mergeCell ref="A9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8" customWidth="1" min="11" max="11"/>
  </cols>
  <sheetData>
    <row r="1">
      <c r="A1" s="4" t="inlineStr">
        <is>
          <t>Consolidated Balance Sheet 合并资产负债表 (USD mm)</t>
        </is>
      </c>
    </row>
    <row r="2">
      <c r="A2" s="5" t="inlineStr">
        <is>
          <t>Source: 10-K p.48 | 2023 estimated from prior filing</t>
        </is>
      </c>
    </row>
    <row r="3">
      <c r="A3" s="42" t="n"/>
      <c r="B3" s="6" t="n">
        <v>2023</v>
      </c>
      <c r="C3" s="6" t="n">
        <v>2024</v>
      </c>
      <c r="D3" s="6" t="n">
        <v>2025</v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6" t="inlineStr">
        <is>
          <t>2029E</t>
        </is>
      </c>
      <c r="I3" s="6" t="inlineStr">
        <is>
          <t>2030E</t>
        </is>
      </c>
      <c r="K3" s="6" t="inlineStr">
        <is>
          <t>Notes / 预测逻辑</t>
        </is>
      </c>
    </row>
    <row r="5">
      <c r="A5" s="14" t="inlineStr">
        <is>
          <t>Current Assets 流动资产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49" t="inlineStr">
        <is>
          <t>Cash &amp; Equivalents 现金</t>
        </is>
      </c>
      <c r="B6" s="43" t="n">
        <v>24048</v>
      </c>
      <c r="C6" s="43" t="n">
        <v>23466</v>
      </c>
      <c r="D6" s="43" t="n">
        <v>30708</v>
      </c>
      <c r="E6" s="8">
        <f>Cash_Flow!E47</f>
        <v/>
      </c>
      <c r="F6" s="8">
        <f>Cash_Flow!F47</f>
        <v/>
      </c>
      <c r="G6" s="8">
        <f>Cash_Flow!G47</f>
        <v/>
      </c>
      <c r="H6" s="8">
        <f>Cash_Flow!H47</f>
        <v/>
      </c>
      <c r="I6" s="8">
        <f>Cash_Flow!I47</f>
        <v/>
      </c>
      <c r="K6" s="22" t="inlineStr">
        <is>
          <t>链接自CF期末现金(forecast)</t>
        </is>
      </c>
    </row>
    <row r="7">
      <c r="A7" s="49" t="inlineStr">
        <is>
          <t>Marketable Securities 有价证券</t>
        </is>
      </c>
      <c r="B7" s="43" t="n">
        <v>86868</v>
      </c>
      <c r="C7" s="43" t="n">
        <v>72191</v>
      </c>
      <c r="D7" s="43" t="n">
        <v>96135</v>
      </c>
      <c r="E7" s="44">
        <f>D7*(1+Assumptions!$I$92)</f>
        <v/>
      </c>
      <c r="F7" s="44">
        <f>E7*(1+Assumptions!$I$92)</f>
        <v/>
      </c>
      <c r="G7" s="44">
        <f>F7*(1+Assumptions!$I$92)</f>
        <v/>
      </c>
      <c r="H7" s="44">
        <f>G7*(1+Assumptions!$I$92)</f>
        <v/>
      </c>
      <c r="I7" s="44">
        <f>H7*(1+Assumptions!$I$92)</f>
        <v/>
      </c>
      <c r="K7" s="22" t="inlineStr">
        <is>
          <t>投资组合，假设温和增长</t>
        </is>
      </c>
    </row>
    <row r="8">
      <c r="A8" s="7" t="inlineStr">
        <is>
          <t>Total Cash &amp; Securities 现金合计</t>
        </is>
      </c>
      <c r="B8" s="43" t="n">
        <v>110916</v>
      </c>
      <c r="C8" s="43" t="n">
        <v>95657</v>
      </c>
      <c r="D8" s="43" t="n">
        <v>126843</v>
      </c>
      <c r="E8" s="44">
        <f>E6+E7</f>
        <v/>
      </c>
      <c r="F8" s="44">
        <f>F6+F7</f>
        <v/>
      </c>
      <c r="G8" s="44">
        <f>G6+G7</f>
        <v/>
      </c>
      <c r="H8" s="44">
        <f>H6+H7</f>
        <v/>
      </c>
      <c r="I8" s="44">
        <f>I6+I7</f>
        <v/>
      </c>
      <c r="K8" s="22" t="inlineStr">
        <is>
          <t>Cash+Securities</t>
        </is>
      </c>
    </row>
    <row r="9">
      <c r="A9" s="49" t="inlineStr">
        <is>
          <t>Accounts Receivable, net 应收账款</t>
        </is>
      </c>
      <c r="B9" s="43" t="n">
        <v>40300</v>
      </c>
      <c r="C9" s="43" t="n">
        <v>52340</v>
      </c>
      <c r="D9" s="43" t="n">
        <v>62886</v>
      </c>
      <c r="E9" s="44">
        <f>Consolidated_PL!E5*Assumptions!$I$84/365</f>
        <v/>
      </c>
      <c r="F9" s="44">
        <f>Consolidated_PL!F5*Assumptions!$I$84/365</f>
        <v/>
      </c>
      <c r="G9" s="44">
        <f>Consolidated_PL!G5*Assumptions!$I$84/365</f>
        <v/>
      </c>
      <c r="H9" s="44">
        <f>Consolidated_PL!H5*Assumptions!$I$84/365</f>
        <v/>
      </c>
      <c r="I9" s="44">
        <f>Consolidated_PL!I5*Assumptions!$I$84/365</f>
        <v/>
      </c>
      <c r="K9" s="22" t="inlineStr">
        <is>
          <t>Revenue×AR Days/365</t>
        </is>
      </c>
    </row>
    <row r="10">
      <c r="A10" s="49" t="inlineStr">
        <is>
          <t>Other Current Assets 其他流动资产</t>
        </is>
      </c>
      <c r="B10" s="43" t="n">
        <v>12200</v>
      </c>
      <c r="C10" s="43" t="n">
        <v>15714</v>
      </c>
      <c r="D10" s="43" t="n">
        <v>16309</v>
      </c>
      <c r="E10" s="44">
        <f>Consolidated_PL!E5*0.04</f>
        <v/>
      </c>
      <c r="F10" s="44">
        <f>Consolidated_PL!F5*0.04</f>
        <v/>
      </c>
      <c r="G10" s="44">
        <f>Consolidated_PL!G5*0.04</f>
        <v/>
      </c>
      <c r="H10" s="44">
        <f>Consolidated_PL!H5*0.04</f>
        <v/>
      </c>
      <c r="I10" s="44">
        <f>Consolidated_PL!I5*0.04</f>
        <v/>
      </c>
      <c r="K10" s="22" t="inlineStr">
        <is>
          <t>预付/库存/其他</t>
        </is>
      </c>
    </row>
    <row r="11">
      <c r="A11" s="45" t="inlineStr">
        <is>
          <t>Total Current Assets 流动资产合计</t>
        </is>
      </c>
      <c r="B11" s="46">
        <f>B8+B9+B10</f>
        <v/>
      </c>
      <c r="C11" s="46">
        <f>C8+C9+C10</f>
        <v/>
      </c>
      <c r="D11" s="46">
        <f>D8+D9+D10</f>
        <v/>
      </c>
      <c r="E11" s="46">
        <f>E8+E9+E10</f>
        <v/>
      </c>
      <c r="F11" s="46">
        <f>F8+F9+F10</f>
        <v/>
      </c>
      <c r="G11" s="46">
        <f>G8+G9+G10</f>
        <v/>
      </c>
      <c r="H11" s="46">
        <f>H8+H9+H10</f>
        <v/>
      </c>
      <c r="I11" s="46">
        <f>I8+I9+I10</f>
        <v/>
      </c>
    </row>
    <row r="13">
      <c r="A13" s="14" t="inlineStr">
        <is>
          <t>Non-Current Assets 非流动资产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49" t="inlineStr">
        <is>
          <t>Non-marketable Securities 非上市证券</t>
        </is>
      </c>
      <c r="B14" s="43" t="n">
        <v>31008</v>
      </c>
      <c r="C14" s="43" t="n">
        <v>37982</v>
      </c>
      <c r="D14" s="43" t="n">
        <v>68687</v>
      </c>
      <c r="E14" s="44">
        <f>D14*(1+Assumptions!$I$91)</f>
        <v/>
      </c>
      <c r="F14" s="44">
        <f>E14*(1+Assumptions!$I$91)</f>
        <v/>
      </c>
      <c r="G14" s="44">
        <f>F14*(1+Assumptions!$I$91)</f>
        <v/>
      </c>
      <c r="H14" s="44">
        <f>G14*(1+Assumptions!$I$91)</f>
        <v/>
      </c>
      <c r="I14" s="44">
        <f>H14*(1+Assumptions!$I$91)</f>
        <v/>
      </c>
      <c r="K14" s="22" t="inlineStr">
        <is>
          <t>含私募股权投资</t>
        </is>
      </c>
    </row>
    <row r="15">
      <c r="A15" s="49" t="inlineStr">
        <is>
          <t>Deferred Income Taxes 递延所得税</t>
        </is>
      </c>
      <c r="B15" s="43" t="n">
        <v>12270</v>
      </c>
      <c r="C15" s="43" t="n">
        <v>17180</v>
      </c>
      <c r="D15" s="43" t="n">
        <v>9113</v>
      </c>
      <c r="E15" s="44" t="n">
        <v>9000</v>
      </c>
      <c r="F15" s="44" t="n">
        <v>9000</v>
      </c>
      <c r="G15" s="44" t="n">
        <v>9000</v>
      </c>
      <c r="H15" s="44" t="n">
        <v>9000</v>
      </c>
      <c r="I15" s="44" t="n">
        <v>9000</v>
      </c>
      <c r="K15" s="22" t="inlineStr"/>
    </row>
    <row r="16">
      <c r="A16" s="49" t="inlineStr">
        <is>
          <t>PP&amp;E, net 固定资产净值</t>
        </is>
      </c>
      <c r="B16" s="43" t="n">
        <v>134345</v>
      </c>
      <c r="C16" s="43" t="n">
        <v>171036</v>
      </c>
      <c r="D16" s="43" t="n">
        <v>246597</v>
      </c>
      <c r="E16" s="44">
        <f>D16+Assumptions!$I$72-Consolidated_PL!E37</f>
        <v/>
      </c>
      <c r="F16" s="44">
        <f>E16+Assumptions!$I$73-Consolidated_PL!F37</f>
        <v/>
      </c>
      <c r="G16" s="44">
        <f>F16+Assumptions!$I$74-Consolidated_PL!G37</f>
        <v/>
      </c>
      <c r="H16" s="44">
        <f>G16+Assumptions!$I$75-Consolidated_PL!H37</f>
        <v/>
      </c>
      <c r="I16" s="44">
        <f>H16+Assumptions!$I$76-Consolidated_PL!I37</f>
        <v/>
      </c>
      <c r="K16" s="22" t="inlineStr">
        <is>
          <t>Prior+CapEx-D&amp;A</t>
        </is>
      </c>
    </row>
    <row r="17">
      <c r="A17" s="49" t="inlineStr">
        <is>
          <t>Operating Lease Assets 经营租赁</t>
        </is>
      </c>
      <c r="B17" s="43" t="n">
        <v>14253</v>
      </c>
      <c r="C17" s="43" t="n">
        <v>13588</v>
      </c>
      <c r="D17" s="43" t="n">
        <v>15221</v>
      </c>
      <c r="E17" s="44">
        <f>D17*(1+Assumptions!$I$90)</f>
        <v/>
      </c>
      <c r="F17" s="44">
        <f>E17*(1+Assumptions!$I$90)</f>
        <v/>
      </c>
      <c r="G17" s="44">
        <f>F17*(1+Assumptions!$I$90)</f>
        <v/>
      </c>
      <c r="H17" s="44">
        <f>G17*(1+Assumptions!$I$90)</f>
        <v/>
      </c>
      <c r="I17" s="44">
        <f>H17*(1+Assumptions!$I$90)</f>
        <v/>
      </c>
      <c r="K17" s="22" t="inlineStr">
        <is>
          <t>办公/数据中心租赁</t>
        </is>
      </c>
    </row>
    <row r="18">
      <c r="A18" s="49" t="inlineStr">
        <is>
          <t>Goodwill 商誉</t>
        </is>
      </c>
      <c r="B18" s="43" t="n">
        <v>29198</v>
      </c>
      <c r="C18" s="43" t="n">
        <v>31885</v>
      </c>
      <c r="D18" s="43" t="n">
        <v>33380</v>
      </c>
      <c r="E18" s="44">
        <f>D18*1.02</f>
        <v/>
      </c>
      <c r="F18" s="44">
        <f>E18*1.02</f>
        <v/>
      </c>
      <c r="G18" s="44">
        <f>F18*1.02</f>
        <v/>
      </c>
      <c r="H18" s="44">
        <f>G18*1.02</f>
        <v/>
      </c>
      <c r="I18" s="44">
        <f>H18*1.02</f>
        <v/>
      </c>
      <c r="K18" s="22" t="inlineStr">
        <is>
          <t>收购溢价</t>
        </is>
      </c>
    </row>
    <row r="19">
      <c r="A19" s="49" t="inlineStr">
        <is>
          <t>Other Non-current 其他非流动</t>
        </is>
      </c>
      <c r="B19" s="43" t="n">
        <v>16902</v>
      </c>
      <c r="C19" s="43" t="n">
        <v>14874</v>
      </c>
      <c r="D19" s="43" t="n">
        <v>16245</v>
      </c>
      <c r="E19" s="44">
        <f>D19*1.03</f>
        <v/>
      </c>
      <c r="F19" s="44">
        <f>E19*1.03</f>
        <v/>
      </c>
      <c r="G19" s="44">
        <f>F19*1.03</f>
        <v/>
      </c>
      <c r="H19" s="44">
        <f>G19*1.03</f>
        <v/>
      </c>
      <c r="I19" s="44">
        <f>H19*1.03</f>
        <v/>
      </c>
      <c r="K19" s="22" t="inlineStr">
        <is>
          <t>无形资产/其他</t>
        </is>
      </c>
    </row>
    <row r="20">
      <c r="A20" s="45" t="inlineStr">
        <is>
          <t>Total Non-Current Assets 非流动资产合计</t>
        </is>
      </c>
      <c r="B20" s="46">
        <f>B14+B15+B16+B17+B18+B19</f>
        <v/>
      </c>
      <c r="C20" s="46">
        <f>C14+C15+C16+C17+C18+C19</f>
        <v/>
      </c>
      <c r="D20" s="46">
        <f>D14+D15+D16+D17+D18+D19</f>
        <v/>
      </c>
      <c r="E20" s="46">
        <f>E14+E15+E16+E17+E18+E19</f>
        <v/>
      </c>
      <c r="F20" s="46">
        <f>F14+F15+F16+F17+F18+F19</f>
        <v/>
      </c>
      <c r="G20" s="46">
        <f>G14+G15+G16+G17+G18+G19</f>
        <v/>
      </c>
      <c r="H20" s="46">
        <f>H14+H15+H16+H17+H18+H19</f>
        <v/>
      </c>
      <c r="I20" s="46">
        <f>I14+I15+I16+I17+I18+I19</f>
        <v/>
      </c>
    </row>
    <row r="21">
      <c r="A21" s="47" t="inlineStr">
        <is>
          <t>TOTAL ASSETS 资产合计</t>
        </is>
      </c>
      <c r="B21" s="48">
        <f>B11+B20</f>
        <v/>
      </c>
      <c r="C21" s="48">
        <f>C11+C20</f>
        <v/>
      </c>
      <c r="D21" s="48">
        <f>D11+D20</f>
        <v/>
      </c>
      <c r="E21" s="48">
        <f>E11+E20</f>
        <v/>
      </c>
      <c r="F21" s="48">
        <f>F11+F20</f>
        <v/>
      </c>
      <c r="G21" s="48">
        <f>G11+G20</f>
        <v/>
      </c>
      <c r="H21" s="48">
        <f>H11+H20</f>
        <v/>
      </c>
      <c r="I21" s="48">
        <f>I11+I20</f>
        <v/>
      </c>
    </row>
    <row r="23">
      <c r="A23" s="14" t="inlineStr">
        <is>
          <t>Current Liabilities 流动负债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49" t="inlineStr">
        <is>
          <t>Accounts Payable 应付账款</t>
        </is>
      </c>
      <c r="B24" s="43" t="n">
        <v>7100</v>
      </c>
      <c r="C24" s="43" t="n">
        <v>7987</v>
      </c>
      <c r="D24" s="43" t="n">
        <v>12200</v>
      </c>
      <c r="E24" s="44">
        <f>Consolidated_PL!E14*Assumptions!$I$85/365</f>
        <v/>
      </c>
      <c r="F24" s="44">
        <f>Consolidated_PL!F14*Assumptions!$I$85/365</f>
        <v/>
      </c>
      <c r="G24" s="44">
        <f>Consolidated_PL!G14*Assumptions!$I$85/365</f>
        <v/>
      </c>
      <c r="H24" s="44">
        <f>Consolidated_PL!H14*Assumptions!$I$85/365</f>
        <v/>
      </c>
      <c r="I24" s="44">
        <f>Consolidated_PL!I14*Assumptions!$I$85/365</f>
        <v/>
      </c>
      <c r="K24" s="22" t="inlineStr">
        <is>
          <t>COGS×AP Days/365</t>
        </is>
      </c>
    </row>
    <row r="25">
      <c r="A25" s="49" t="inlineStr">
        <is>
          <t>Accrued Compensation 应计薪酬</t>
        </is>
      </c>
      <c r="B25" s="43" t="n">
        <v>14200</v>
      </c>
      <c r="C25" s="43" t="n">
        <v>15069</v>
      </c>
      <c r="D25" s="43" t="n">
        <v>17546</v>
      </c>
      <c r="E25" s="44">
        <f>Consolidated_PL!E5*Assumptions!$I$86</f>
        <v/>
      </c>
      <c r="F25" s="44">
        <f>Consolidated_PL!F5*Assumptions!$I$86</f>
        <v/>
      </c>
      <c r="G25" s="44">
        <f>Consolidated_PL!G5*Assumptions!$I$86</f>
        <v/>
      </c>
      <c r="H25" s="44">
        <f>Consolidated_PL!H5*Assumptions!$I$86</f>
        <v/>
      </c>
      <c r="I25" s="44">
        <f>Consolidated_PL!I5*Assumptions!$I$86</f>
        <v/>
      </c>
      <c r="K25" s="22" t="inlineStr">
        <is>
          <t>Revenue×AccComp%</t>
        </is>
      </c>
    </row>
    <row r="26">
      <c r="A26" s="49" t="inlineStr">
        <is>
          <t>Accrued Expenses 应计费用</t>
        </is>
      </c>
      <c r="B26" s="43" t="n">
        <v>43000</v>
      </c>
      <c r="C26" s="43" t="n">
        <v>51228</v>
      </c>
      <c r="D26" s="43" t="n">
        <v>55557</v>
      </c>
      <c r="E26" s="44">
        <f>Consolidated_PL!E5*Assumptions!$I$87</f>
        <v/>
      </c>
      <c r="F26" s="44">
        <f>Consolidated_PL!F5*Assumptions!$I$87</f>
        <v/>
      </c>
      <c r="G26" s="44">
        <f>Consolidated_PL!G5*Assumptions!$I$87</f>
        <v/>
      </c>
      <c r="H26" s="44">
        <f>Consolidated_PL!H5*Assumptions!$I$87</f>
        <v/>
      </c>
      <c r="I26" s="44">
        <f>Consolidated_PL!I5*Assumptions!$I$87</f>
        <v/>
      </c>
      <c r="K26" s="22" t="inlineStr">
        <is>
          <t>Revenue×AccExp%</t>
        </is>
      </c>
    </row>
    <row r="27">
      <c r="A27" s="49" t="inlineStr">
        <is>
          <t>Accrued Revenue Share 应计收入分成</t>
        </is>
      </c>
      <c r="B27" s="43" t="n">
        <v>8743</v>
      </c>
      <c r="C27" s="43" t="n">
        <v>9802</v>
      </c>
      <c r="D27" s="43" t="n">
        <v>10864</v>
      </c>
      <c r="E27" s="44">
        <f>Segment_Revenue!E13*Assumptions!$I$88</f>
        <v/>
      </c>
      <c r="F27" s="44">
        <f>Segment_Revenue!F13*Assumptions!$I$88</f>
        <v/>
      </c>
      <c r="G27" s="44">
        <f>Segment_Revenue!G13*Assumptions!$I$88</f>
        <v/>
      </c>
      <c r="H27" s="44">
        <f>Segment_Revenue!H13*Assumptions!$I$88</f>
        <v/>
      </c>
      <c r="I27" s="44">
        <f>Segment_Revenue!I13*Assumptions!$I$88</f>
        <v/>
      </c>
      <c r="K27" s="22" t="inlineStr">
        <is>
          <t>Ad Revenue×RevShare%</t>
        </is>
      </c>
    </row>
    <row r="28">
      <c r="A28" s="49" t="inlineStr">
        <is>
          <t>Deferred Revenue 递延收入</t>
        </is>
      </c>
      <c r="B28" s="43" t="n">
        <v>3993</v>
      </c>
      <c r="C28" s="43" t="n">
        <v>5036</v>
      </c>
      <c r="D28" s="43" t="n">
        <v>6578</v>
      </c>
      <c r="E28" s="44">
        <f>D28*(1+Assumptions!$I$89)</f>
        <v/>
      </c>
      <c r="F28" s="44">
        <f>E28*(1+Assumptions!$I$89)</f>
        <v/>
      </c>
      <c r="G28" s="44">
        <f>F28*(1+Assumptions!$I$89)</f>
        <v/>
      </c>
      <c r="H28" s="44">
        <f>G28*(1+Assumptions!$I$89)</f>
        <v/>
      </c>
      <c r="I28" s="44">
        <f>H28*(1+Assumptions!$I$89)</f>
        <v/>
      </c>
      <c r="K28" s="22" t="inlineStr">
        <is>
          <t>Cloud预付合同增长</t>
        </is>
      </c>
    </row>
    <row r="29">
      <c r="A29" s="45" t="inlineStr">
        <is>
          <t>Total Current Liabilities 流动负债合计</t>
        </is>
      </c>
      <c r="B29" s="46">
        <f>B24+B25+B26+B27+B28</f>
        <v/>
      </c>
      <c r="C29" s="46">
        <f>C24+C25+C26+C27+C28</f>
        <v/>
      </c>
      <c r="D29" s="46">
        <f>D24+D25+D26+D27+D28</f>
        <v/>
      </c>
      <c r="E29" s="46">
        <f>E24+E25+E26+E27+E28</f>
        <v/>
      </c>
      <c r="F29" s="46">
        <f>F24+F25+F26+F27+F28</f>
        <v/>
      </c>
      <c r="G29" s="46">
        <f>G24+G25+G26+G27+G28</f>
        <v/>
      </c>
      <c r="H29" s="46">
        <f>H24+H25+H26+H27+H28</f>
        <v/>
      </c>
      <c r="I29" s="46">
        <f>I24+I25+I26+I27+I28</f>
        <v/>
      </c>
    </row>
    <row r="31">
      <c r="A31" s="14" t="inlineStr">
        <is>
          <t>Non-Current Liabilities 非流动负债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49" t="inlineStr">
        <is>
          <t>Long-term Debt 长期债务</t>
        </is>
      </c>
      <c r="B32" s="43" t="n">
        <v>12887</v>
      </c>
      <c r="C32" s="43" t="n">
        <v>10883</v>
      </c>
      <c r="D32" s="43" t="n">
        <v>46547</v>
      </c>
      <c r="E32" s="44">
        <f>D32+Assumptions!$I$97</f>
        <v/>
      </c>
      <c r="F32" s="44">
        <f>E32+Assumptions!$I$98</f>
        <v/>
      </c>
      <c r="G32" s="44">
        <f>F32+Assumptions!$I$99</f>
        <v/>
      </c>
      <c r="H32" s="44">
        <f>G32+Assumptions!$I$100</f>
        <v/>
      </c>
      <c r="I32" s="44">
        <f>H32+Assumptions!$I$101</f>
        <v/>
      </c>
      <c r="K32" s="22" t="inlineStr">
        <is>
          <t>2025发行$65B新债</t>
        </is>
      </c>
    </row>
    <row r="33">
      <c r="A33" s="49" t="inlineStr">
        <is>
          <t>Income Taxes Payable, NC 长期应交税</t>
        </is>
      </c>
      <c r="B33" s="43" t="n">
        <v>8049</v>
      </c>
      <c r="C33" s="43" t="n">
        <v>8782</v>
      </c>
      <c r="D33" s="43" t="n">
        <v>9531</v>
      </c>
      <c r="E33" s="44">
        <f>D33*1.03</f>
        <v/>
      </c>
      <c r="F33" s="44">
        <f>E33*1.03</f>
        <v/>
      </c>
      <c r="G33" s="44">
        <f>F33*1.03</f>
        <v/>
      </c>
      <c r="H33" s="44">
        <f>G33*1.03</f>
        <v/>
      </c>
      <c r="I33" s="44">
        <f>H33*1.03</f>
        <v/>
      </c>
      <c r="K33" s="22" t="inlineStr"/>
    </row>
    <row r="34">
      <c r="A34" s="49" t="inlineStr">
        <is>
          <t>Operating Lease Liabilities 经营租赁负债</t>
        </is>
      </c>
      <c r="B34" s="43" t="n">
        <v>10989</v>
      </c>
      <c r="C34" s="43" t="n">
        <v>11691</v>
      </c>
      <c r="D34" s="43" t="n">
        <v>12744</v>
      </c>
      <c r="E34" s="44">
        <f>E17*0.84</f>
        <v/>
      </c>
      <c r="F34" s="44">
        <f>F17*0.84</f>
        <v/>
      </c>
      <c r="G34" s="44">
        <f>G17*0.84</f>
        <v/>
      </c>
      <c r="H34" s="44">
        <f>H17*0.84</f>
        <v/>
      </c>
      <c r="I34" s="44">
        <f>I17*0.84</f>
        <v/>
      </c>
      <c r="K34" s="22" t="inlineStr">
        <is>
          <t>跟踪ROU资产</t>
        </is>
      </c>
    </row>
    <row r="35">
      <c r="A35" s="49" t="inlineStr">
        <is>
          <t>Other Long-term 其他长期负债</t>
        </is>
      </c>
      <c r="B35" s="43" t="n">
        <v>9052</v>
      </c>
      <c r="C35" s="43" t="n">
        <v>4694</v>
      </c>
      <c r="D35" s="43" t="n">
        <v>8449</v>
      </c>
      <c r="E35" s="44">
        <f>D35*1.05</f>
        <v/>
      </c>
      <c r="F35" s="44">
        <f>E35*1.05</f>
        <v/>
      </c>
      <c r="G35" s="44">
        <f>F35*1.05</f>
        <v/>
      </c>
      <c r="H35" s="44">
        <f>G35*1.05</f>
        <v/>
      </c>
      <c r="I35" s="44">
        <f>H35*1.05</f>
        <v/>
      </c>
      <c r="K35" s="22" t="inlineStr"/>
    </row>
    <row r="36">
      <c r="A36" s="7" t="inlineStr">
        <is>
          <t>Total Non-Current Liabilities 非流动负债</t>
        </is>
      </c>
      <c r="B36" s="44">
        <f>B32+B33+B34+B35</f>
        <v/>
      </c>
      <c r="C36" s="44">
        <f>C32+C33+C34+C35</f>
        <v/>
      </c>
      <c r="D36" s="44">
        <f>D32+D33+D34+D35</f>
        <v/>
      </c>
      <c r="E36" s="44">
        <f>E32+E33+E34+E35</f>
        <v/>
      </c>
      <c r="F36" s="44">
        <f>F32+F33+F34+F35</f>
        <v/>
      </c>
      <c r="G36" s="44">
        <f>G32+G33+G34+G35</f>
        <v/>
      </c>
      <c r="H36" s="44">
        <f>H32+H33+H34+H35</f>
        <v/>
      </c>
      <c r="I36" s="44">
        <f>I32+I33+I34+I35</f>
        <v/>
      </c>
    </row>
    <row r="37">
      <c r="A37" s="45" t="inlineStr">
        <is>
          <t>TOTAL LIABILITIES 负债合计</t>
        </is>
      </c>
      <c r="B37" s="46">
        <f>B29+B36</f>
        <v/>
      </c>
      <c r="C37" s="46">
        <f>C29+C36</f>
        <v/>
      </c>
      <c r="D37" s="46">
        <f>D29+D36</f>
        <v/>
      </c>
      <c r="E37" s="46">
        <f>E29+E36</f>
        <v/>
      </c>
      <c r="F37" s="46">
        <f>F29+F36</f>
        <v/>
      </c>
      <c r="G37" s="46">
        <f>G29+G36</f>
        <v/>
      </c>
      <c r="H37" s="46">
        <f>H29+H36</f>
        <v/>
      </c>
      <c r="I37" s="46">
        <f>I29+I36</f>
        <v/>
      </c>
    </row>
    <row r="39">
      <c r="A39" s="14" t="inlineStr">
        <is>
          <t>Stockholders' Equity 股东权益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47" t="inlineStr">
        <is>
          <t>Total Equity 股东权益合计</t>
        </is>
      </c>
      <c r="B40" s="55" t="n">
        <v>283379</v>
      </c>
      <c r="C40" s="55" t="n">
        <v>325084</v>
      </c>
      <c r="D40" s="55" t="n">
        <v>415265</v>
      </c>
      <c r="E40" s="48">
        <f>D40+Consolidated_PL!E33-Assumptions!$I$79-Assumptions!$I$80*Consolidated_PL!E40+Consolidated_PL!E38*(1-Assumptions!$I$93)</f>
        <v/>
      </c>
      <c r="F40" s="48">
        <f>E40+Consolidated_PL!F33-Assumptions!$I$79-Assumptions!$I$80*Consolidated_PL!F40+Consolidated_PL!F38*(1-Assumptions!$I$93)</f>
        <v/>
      </c>
      <c r="G40" s="48">
        <f>F40+Consolidated_PL!G33-Assumptions!$I$79-Assumptions!$I$80*Consolidated_PL!G40+Consolidated_PL!G38*(1-Assumptions!$I$93)</f>
        <v/>
      </c>
      <c r="H40" s="48">
        <f>G40+Consolidated_PL!H33-Assumptions!$I$79-Assumptions!$I$80*Consolidated_PL!H40+Consolidated_PL!H38*(1-Assumptions!$I$93)</f>
        <v/>
      </c>
      <c r="I40" s="48">
        <f>H40+Consolidated_PL!I33-Assumptions!$I$79-Assumptions!$I$80*Consolidated_PL!I40+Consolidated_PL!I38*(1-Assumptions!$I$93)</f>
        <v/>
      </c>
      <c r="K40" s="22" t="inlineStr">
        <is>
          <t>Prior+NI-Buyback-Div+SBC×(1-结算率)</t>
        </is>
      </c>
    </row>
    <row r="42">
      <c r="A42" s="47" t="inlineStr">
        <is>
          <t>TOTAL LIABILITIES &amp; EQUITY 负债+权益</t>
        </is>
      </c>
      <c r="B42" s="48">
        <f>B37+B40</f>
        <v/>
      </c>
      <c r="C42" s="48">
        <f>C37+C40</f>
        <v/>
      </c>
      <c r="D42" s="48">
        <f>D37+D40</f>
        <v/>
      </c>
      <c r="E42" s="48">
        <f>E37+E40</f>
        <v/>
      </c>
      <c r="F42" s="48">
        <f>F37+F40</f>
        <v/>
      </c>
      <c r="G42" s="48">
        <f>G37+G40</f>
        <v/>
      </c>
      <c r="H42" s="48">
        <f>H37+H40</f>
        <v/>
      </c>
      <c r="I42" s="48">
        <f>I37+I40</f>
        <v/>
      </c>
    </row>
    <row r="43">
      <c r="A43" s="50" t="inlineStr">
        <is>
          <t>Balance Check 平衡检验 (Assets - L&amp;E)</t>
        </is>
      </c>
      <c r="B43" s="51">
        <f>B21-B42</f>
        <v/>
      </c>
      <c r="C43" s="51">
        <f>C21-C42</f>
        <v/>
      </c>
      <c r="D43" s="51">
        <f>D21-D42</f>
        <v/>
      </c>
      <c r="E43" s="51">
        <f>E21-E42</f>
        <v/>
      </c>
      <c r="F43" s="51">
        <f>F21-F42</f>
        <v/>
      </c>
      <c r="G43" s="51">
        <f>G21-G42</f>
        <v/>
      </c>
      <c r="H43" s="51">
        <f>H21-H42</f>
        <v/>
      </c>
      <c r="I43" s="51">
        <f>I21-I42</f>
        <v/>
      </c>
      <c r="K43" s="22" t="inlineStr">
        <is>
          <t>应为0 (Cash为plug项)</t>
        </is>
      </c>
    </row>
    <row r="46">
      <c r="A46" s="17" t="inlineStr">
        <is>
          <t>数据图例 Data Legend:</t>
        </is>
      </c>
    </row>
    <row r="47">
      <c r="A47" s="16" t="inlineStr">
        <is>
          <t xml:space="preserve">  蓝色字体 Blue Font = 财报原始数据 Hardcoded from financials</t>
        </is>
      </c>
    </row>
    <row r="48">
      <c r="A48" s="16" t="inlineStr">
        <is>
          <t xml:space="preserve">  绿色字体 Green Font = 链接自其他工作表 Links from other sheets</t>
        </is>
      </c>
    </row>
    <row r="49">
      <c r="A49" s="16" t="inlineStr">
        <is>
          <t xml:space="preserve">  蓝底深蓝字体 Blue Fill = 可编辑假设 Editable assumption inputs</t>
        </is>
      </c>
    </row>
    <row r="50">
      <c r="A50" s="16" t="inlineStr">
        <is>
          <t xml:space="preserve">  黄底粗体 Yellow Fill = 关键输出 Key output rows</t>
        </is>
      </c>
    </row>
    <row r="51">
      <c r="A51" s="16" t="inlineStr">
        <is>
          <t xml:space="preserve">  黑色字体 Black Font = 公式计算 Calculated from formulas</t>
        </is>
      </c>
    </row>
    <row r="53">
      <c r="A53" s="17" t="inlineStr">
        <is>
          <t>数据来源 Data Sources:</t>
        </is>
      </c>
    </row>
    <row r="54">
      <c r="A54" s="16" t="inlineStr">
        <is>
          <t xml:space="preserve">  • Alphabet 2025 10-K Annual Report (filed Feb 4, 2026) - Consolidated Financial Statements pp.48-52</t>
        </is>
      </c>
    </row>
    <row r="55">
      <c r="A55" s="16" t="inlineStr">
        <is>
          <t xml:space="preserve">  • Alphabet 2025 10-K Note 15: Segment Information (Google Services, Cloud, Other Bets)</t>
        </is>
      </c>
    </row>
    <row r="56">
      <c r="A56" s="16" t="inlineStr">
        <is>
          <t xml:space="preserve">  • Q4 2025 Earnings Call (Feb 4, 2026): CapEx 2026 guidance $75B (single quarter) → annualized ~$180B</t>
        </is>
      </c>
    </row>
    <row r="57">
      <c r="A57" s="16" t="inlineStr">
        <is>
          <t xml:space="preserve">  • 10Y UST yield ~4.2% (Feb 2026), Fed 2% long-term inflation target</t>
        </is>
      </c>
    </row>
  </sheetData>
  <mergeCells count="5">
    <mergeCell ref="A39:K39"/>
    <mergeCell ref="A13:K13"/>
    <mergeCell ref="A5:K5"/>
    <mergeCell ref="A23:K23"/>
    <mergeCell ref="A31:K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8" customWidth="1" min="11" max="11"/>
  </cols>
  <sheetData>
    <row r="1">
      <c r="A1" s="4" t="inlineStr">
        <is>
          <t>Cash Flow Statement 现金流量表 (USD mm)</t>
        </is>
      </c>
    </row>
    <row r="2">
      <c r="A2" s="5" t="inlineStr">
        <is>
          <t>三表联动: Ending Cash → BS!Cash | Source: 10-K pp.51-52</t>
        </is>
      </c>
    </row>
    <row r="3">
      <c r="A3" s="42" t="n"/>
      <c r="B3" s="6" t="n">
        <v>2023</v>
      </c>
      <c r="C3" s="6" t="n">
        <v>2024</v>
      </c>
      <c r="D3" s="6" t="n">
        <v>2025</v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6" t="inlineStr">
        <is>
          <t>2029E</t>
        </is>
      </c>
      <c r="I3" s="6" t="inlineStr">
        <is>
          <t>2030E</t>
        </is>
      </c>
      <c r="K3" s="6" t="inlineStr">
        <is>
          <t>Notes / 预测逻辑</t>
        </is>
      </c>
    </row>
    <row r="5">
      <c r="A5" s="14" t="inlineStr">
        <is>
          <t>Operating Activities 经营活动现金流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7" t="inlineStr">
        <is>
          <t>Net Income 净利润</t>
        </is>
      </c>
      <c r="B6" s="43" t="n">
        <v>73795</v>
      </c>
      <c r="C6" s="43" t="n">
        <v>100118</v>
      </c>
      <c r="D6" s="43" t="n">
        <v>132170</v>
      </c>
      <c r="E6" s="8">
        <f>Consolidated_PL!E33</f>
        <v/>
      </c>
      <c r="F6" s="8">
        <f>Consolidated_PL!F33</f>
        <v/>
      </c>
      <c r="G6" s="8">
        <f>Consolidated_PL!G33</f>
        <v/>
      </c>
      <c r="H6" s="8">
        <f>Consolidated_PL!H33</f>
        <v/>
      </c>
      <c r="I6" s="8">
        <f>Consolidated_PL!I33</f>
        <v/>
      </c>
      <c r="K6" s="22" t="inlineStr">
        <is>
          <t>链接自Consolidated_PL</t>
        </is>
      </c>
    </row>
    <row r="7">
      <c r="A7" s="49" t="inlineStr">
        <is>
          <t>(+) D&amp;A 折旧与摊销</t>
        </is>
      </c>
      <c r="B7" s="43" t="n">
        <v>11946</v>
      </c>
      <c r="C7" s="43" t="n">
        <v>15311</v>
      </c>
      <c r="D7" s="43" t="n">
        <v>21136</v>
      </c>
      <c r="E7" s="8">
        <f>Consolidated_PL!E37</f>
        <v/>
      </c>
      <c r="F7" s="8">
        <f>Consolidated_PL!F37</f>
        <v/>
      </c>
      <c r="G7" s="8">
        <f>Consolidated_PL!G37</f>
        <v/>
      </c>
      <c r="H7" s="8">
        <f>Consolidated_PL!H37</f>
        <v/>
      </c>
      <c r="I7" s="8">
        <f>Consolidated_PL!I37</f>
        <v/>
      </c>
      <c r="K7" s="22" t="inlineStr">
        <is>
          <t>非现金项目加回</t>
        </is>
      </c>
    </row>
    <row r="8">
      <c r="A8" s="49" t="inlineStr">
        <is>
          <t>(+) SBC 股权激励</t>
        </is>
      </c>
      <c r="B8" s="43" t="n">
        <v>22460</v>
      </c>
      <c r="C8" s="43" t="n">
        <v>22785</v>
      </c>
      <c r="D8" s="43" t="n">
        <v>24953</v>
      </c>
      <c r="E8" s="8">
        <f>Consolidated_PL!E38</f>
        <v/>
      </c>
      <c r="F8" s="8">
        <f>Consolidated_PL!F38</f>
        <v/>
      </c>
      <c r="G8" s="8">
        <f>Consolidated_PL!G38</f>
        <v/>
      </c>
      <c r="H8" s="8">
        <f>Consolidated_PL!H38</f>
        <v/>
      </c>
      <c r="I8" s="8">
        <f>Consolidated_PL!I38</f>
        <v/>
      </c>
      <c r="K8" s="22" t="inlineStr">
        <is>
          <t>非现金项目加回</t>
        </is>
      </c>
    </row>
    <row r="9">
      <c r="A9" s="14" t="inlineStr">
        <is>
          <t>Non-cash &amp; Accrual Adjustments 非现金及应计调整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49" t="inlineStr">
        <is>
          <t>Deferred Tax 递延所得税</t>
        </is>
      </c>
      <c r="B10" s="43" t="n">
        <v>-7763</v>
      </c>
      <c r="C10" s="43" t="n">
        <v>-5257</v>
      </c>
      <c r="D10" s="43" t="n">
        <v>8348</v>
      </c>
      <c r="E10" s="44">
        <f>-(BS!E15-BS!D15)</f>
        <v/>
      </c>
      <c r="F10" s="44">
        <f>-(BS!F15-BS!E15)</f>
        <v/>
      </c>
      <c r="G10" s="44">
        <f>-(BS!G15-BS!F15)</f>
        <v/>
      </c>
      <c r="H10" s="44">
        <f>-(BS!H15-BS!G15)</f>
        <v/>
      </c>
      <c r="I10" s="44">
        <f>-(BS!I15-BS!H15)</f>
        <v/>
      </c>
      <c r="K10" s="22" t="inlineStr">
        <is>
          <t>DTA减少=现金来源(链接BS)</t>
        </is>
      </c>
    </row>
    <row r="11">
      <c r="A11" s="49" t="inlineStr">
        <is>
          <t>OpLease Net Adj 经营租赁净调整</t>
        </is>
      </c>
      <c r="B11" s="43" t="n">
        <v>0</v>
      </c>
      <c r="C11" s="43" t="n">
        <v>0</v>
      </c>
      <c r="D11" s="43" t="n">
        <v>0</v>
      </c>
      <c r="E11" s="44">
        <f>(BS!E34-BS!D34)-(BS!E17-BS!D17)</f>
        <v/>
      </c>
      <c r="F11" s="44">
        <f>(BS!F34-BS!E34)-(BS!F17-BS!E17)</f>
        <v/>
      </c>
      <c r="G11" s="44">
        <f>(BS!G34-BS!F34)-(BS!G17-BS!F17)</f>
        <v/>
      </c>
      <c r="H11" s="44">
        <f>(BS!H34-BS!G34)-(BS!H17-BS!G17)</f>
        <v/>
      </c>
      <c r="I11" s="44">
        <f>(BS!I34-BS!H34)-(BS!I17-BS!H17)</f>
        <v/>
      </c>
      <c r="K11" s="22" t="inlineStr">
        <is>
          <t>Δ租赁负债-Δ租赁资产</t>
        </is>
      </c>
    </row>
    <row r="12">
      <c r="A12" s="49" t="inlineStr">
        <is>
          <t>LT Tax Payable Chg 长期应交税</t>
        </is>
      </c>
      <c r="B12" s="43" t="n">
        <v>0</v>
      </c>
      <c r="C12" s="43" t="n">
        <v>0</v>
      </c>
      <c r="D12" s="43" t="n">
        <v>0</v>
      </c>
      <c r="E12" s="44">
        <f>BS!E33-BS!D33</f>
        <v/>
      </c>
      <c r="F12" s="44">
        <f>BS!F33-BS!E33</f>
        <v/>
      </c>
      <c r="G12" s="44">
        <f>BS!G33-BS!F33</f>
        <v/>
      </c>
      <c r="H12" s="44">
        <f>BS!H33-BS!G33</f>
        <v/>
      </c>
      <c r="I12" s="44">
        <f>BS!I33-BS!H33</f>
        <v/>
      </c>
      <c r="K12" s="22" t="inlineStr">
        <is>
          <t>长期税负增加=现金来源</t>
        </is>
      </c>
    </row>
    <row r="13">
      <c r="A13" s="49" t="inlineStr">
        <is>
          <t>Other LT Liab Chg 其他长期负债</t>
        </is>
      </c>
      <c r="B13" s="43" t="n">
        <v>0</v>
      </c>
      <c r="C13" s="43" t="n">
        <v>0</v>
      </c>
      <c r="D13" s="43" t="n">
        <v>0</v>
      </c>
      <c r="E13" s="44">
        <f>BS!E35-BS!D35</f>
        <v/>
      </c>
      <c r="F13" s="44">
        <f>BS!F35-BS!E35</f>
        <v/>
      </c>
      <c r="G13" s="44">
        <f>BS!G35-BS!F35</f>
        <v/>
      </c>
      <c r="H13" s="44">
        <f>BS!H35-BS!G35</f>
        <v/>
      </c>
      <c r="I13" s="44">
        <f>BS!I35-BS!H35</f>
        <v/>
      </c>
      <c r="K13" s="22" t="inlineStr">
        <is>
          <t>其他长期负债变动</t>
        </is>
      </c>
    </row>
    <row r="14">
      <c r="A14" s="49" t="inlineStr">
        <is>
          <t>Securities G/L + Other 证券损益+其他</t>
        </is>
      </c>
      <c r="B14" s="43" t="n">
        <v>5153</v>
      </c>
      <c r="C14" s="43" t="n">
        <v>748</v>
      </c>
      <c r="D14" s="43" t="n">
        <v>-22512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K14" s="22" t="inlineStr">
        <is>
          <t>2025含$24.6B证券损益(一次性)</t>
        </is>
      </c>
    </row>
    <row r="15">
      <c r="A15" s="14" t="inlineStr">
        <is>
          <t>Working Capital Changes 营运资金变动 (→ BS)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49" t="inlineStr">
        <is>
          <t xml:space="preserve">  Chg AR 应收变动</t>
        </is>
      </c>
      <c r="B16" s="43" t="n">
        <v>-7833</v>
      </c>
      <c r="C16" s="43" t="n">
        <v>-5891</v>
      </c>
      <c r="D16" s="43" t="n">
        <v>-8779</v>
      </c>
      <c r="E16" s="44">
        <f>-(BS!E9-BS!D9)</f>
        <v/>
      </c>
      <c r="F16" s="44">
        <f>-(BS!F9-BS!E9)</f>
        <v/>
      </c>
      <c r="G16" s="44">
        <f>-(BS!G9-BS!F9)</f>
        <v/>
      </c>
      <c r="H16" s="44">
        <f>-(BS!H9-BS!G9)</f>
        <v/>
      </c>
      <c r="I16" s="44">
        <f>-(BS!I9-BS!H9)</f>
        <v/>
      </c>
      <c r="K16" s="22" t="inlineStr">
        <is>
          <t>应收增加=现金流出</t>
        </is>
      </c>
    </row>
    <row r="17">
      <c r="A17" s="49" t="inlineStr">
        <is>
          <t xml:space="preserve">  Chg AccComp 应计薪酬变动</t>
        </is>
      </c>
      <c r="B17" s="43" t="n">
        <v>0</v>
      </c>
      <c r="C17" s="43" t="n">
        <v>0</v>
      </c>
      <c r="D17" s="43" t="n">
        <v>0</v>
      </c>
      <c r="E17" s="44">
        <f>(BS!E25-BS!D25)</f>
        <v/>
      </c>
      <c r="F17" s="44">
        <f>(BS!F25-BS!E25)</f>
        <v/>
      </c>
      <c r="G17" s="44">
        <f>(BS!G25-BS!F25)</f>
        <v/>
      </c>
      <c r="H17" s="44">
        <f>(BS!H25-BS!G25)</f>
        <v/>
      </c>
      <c r="I17" s="44">
        <f>(BS!I25-BS!H25)</f>
        <v/>
      </c>
      <c r="K17" s="22" t="inlineStr">
        <is>
          <t>薪酬负债增加=现金留存(历史含在AccExp中)</t>
        </is>
      </c>
    </row>
    <row r="18">
      <c r="A18" s="49" t="inlineStr">
        <is>
          <t xml:space="preserve">  Chg OtherCA 其他流动资产</t>
        </is>
      </c>
      <c r="B18" s="43" t="n">
        <v>-2143</v>
      </c>
      <c r="C18" s="43" t="n">
        <v>-1397</v>
      </c>
      <c r="D18" s="43" t="n">
        <v>-4542</v>
      </c>
      <c r="E18" s="44">
        <f>-(BS!E10-BS!D10)</f>
        <v/>
      </c>
      <c r="F18" s="44">
        <f>-(BS!F10-BS!E10)</f>
        <v/>
      </c>
      <c r="G18" s="44">
        <f>-(BS!G10-BS!F10)</f>
        <v/>
      </c>
      <c r="H18" s="44">
        <f>-(BS!H10-BS!G10)</f>
        <v/>
      </c>
      <c r="I18" s="44">
        <f>-(BS!I10-BS!H10)</f>
        <v/>
      </c>
      <c r="K18" s="22" t="inlineStr">
        <is>
          <t>其他流动资产增加=现金流出</t>
        </is>
      </c>
    </row>
    <row r="19">
      <c r="A19" s="49" t="inlineStr">
        <is>
          <t xml:space="preserve">  Chg AP 应付变动</t>
        </is>
      </c>
      <c r="B19" s="43" t="n">
        <v>664</v>
      </c>
      <c r="C19" s="43" t="n">
        <v>359</v>
      </c>
      <c r="D19" s="43" t="n">
        <v>907</v>
      </c>
      <c r="E19" s="44">
        <f>(BS!E24-BS!D24)</f>
        <v/>
      </c>
      <c r="F19" s="44">
        <f>(BS!F24-BS!E24)</f>
        <v/>
      </c>
      <c r="G19" s="44">
        <f>(BS!G24-BS!F24)</f>
        <v/>
      </c>
      <c r="H19" s="44">
        <f>(BS!H24-BS!G24)</f>
        <v/>
      </c>
      <c r="I19" s="44">
        <f>(BS!I24-BS!H24)</f>
        <v/>
      </c>
      <c r="K19" s="22" t="inlineStr">
        <is>
          <t>应付增加=现金留存</t>
        </is>
      </c>
    </row>
    <row r="20">
      <c r="A20" s="49" t="inlineStr">
        <is>
          <t xml:space="preserve">  Chg AccExp 应计费用变动</t>
        </is>
      </c>
      <c r="B20" s="43" t="n">
        <v>3937</v>
      </c>
      <c r="C20" s="43" t="n">
        <v>-1161</v>
      </c>
      <c r="D20" s="43" t="n">
        <v>12939</v>
      </c>
      <c r="E20" s="44">
        <f>(BS!E26-BS!D26)</f>
        <v/>
      </c>
      <c r="F20" s="44">
        <f>(BS!F26-BS!E26)</f>
        <v/>
      </c>
      <c r="G20" s="44">
        <f>(BS!G26-BS!F26)</f>
        <v/>
      </c>
      <c r="H20" s="44">
        <f>(BS!H26-BS!G26)</f>
        <v/>
      </c>
      <c r="I20" s="44">
        <f>(BS!I26-BS!H26)</f>
        <v/>
      </c>
      <c r="K20" s="22" t="inlineStr">
        <is>
          <t>运营应计增加=现金留存</t>
        </is>
      </c>
    </row>
    <row r="21">
      <c r="A21" s="49" t="inlineStr">
        <is>
          <t xml:space="preserve">  Chg RevShare 收入分成变动</t>
        </is>
      </c>
      <c r="B21" s="43" t="n">
        <v>482</v>
      </c>
      <c r="C21" s="43" t="n">
        <v>1059</v>
      </c>
      <c r="D21" s="43" t="n">
        <v>899</v>
      </c>
      <c r="E21" s="44">
        <f>(BS!E27-BS!D27)</f>
        <v/>
      </c>
      <c r="F21" s="44">
        <f>(BS!F27-BS!E27)</f>
        <v/>
      </c>
      <c r="G21" s="44">
        <f>(BS!G27-BS!F27)</f>
        <v/>
      </c>
      <c r="H21" s="44">
        <f>(BS!H27-BS!G27)</f>
        <v/>
      </c>
      <c r="I21" s="44">
        <f>(BS!I27-BS!H27)</f>
        <v/>
      </c>
      <c r="K21" s="22" t="inlineStr">
        <is>
          <t>分成负债增加=现金留存</t>
        </is>
      </c>
    </row>
    <row r="22">
      <c r="A22" s="49" t="inlineStr">
        <is>
          <t xml:space="preserve">  Chg DefRev 递延收入变动</t>
        </is>
      </c>
      <c r="B22" s="43" t="n">
        <v>525</v>
      </c>
      <c r="C22" s="43" t="n">
        <v>1043</v>
      </c>
      <c r="D22" s="43" t="n">
        <v>2420</v>
      </c>
      <c r="E22" s="44">
        <f>(BS!E28-BS!D28)</f>
        <v/>
      </c>
      <c r="F22" s="44">
        <f>(BS!F28-BS!E28)</f>
        <v/>
      </c>
      <c r="G22" s="44">
        <f>(BS!G28-BS!F28)</f>
        <v/>
      </c>
      <c r="H22" s="44">
        <f>(BS!H28-BS!G28)</f>
        <v/>
      </c>
      <c r="I22" s="44">
        <f>(BS!I28-BS!H28)</f>
        <v/>
      </c>
      <c r="K22" s="22" t="inlineStr">
        <is>
          <t>预收增加=现金留存</t>
        </is>
      </c>
    </row>
    <row r="23">
      <c r="A23" s="45" t="inlineStr">
        <is>
          <t>CFO 经营活动净现金</t>
        </is>
      </c>
      <c r="B23" s="56" t="n">
        <v>101746</v>
      </c>
      <c r="C23" s="56" t="n">
        <v>125299</v>
      </c>
      <c r="D23" s="56" t="n">
        <v>164713</v>
      </c>
      <c r="E23" s="46">
        <f>E6+E7+E8+E10+E11+E12+E13+E14+E16+E17+E18+E19+E20+E21+E22</f>
        <v/>
      </c>
      <c r="F23" s="46">
        <f>F6+F7+F8+F10+F11+F12+F13+F14+F16+F17+F18+F19+F20+F21+F22</f>
        <v/>
      </c>
      <c r="G23" s="46">
        <f>G6+G7+G8+G10+G11+G12+G13+G14+G16+G17+G18+G19+G20+G21+G22</f>
        <v/>
      </c>
      <c r="H23" s="46">
        <f>H6+H7+H8+H10+H11+H12+H13+H14+H16+H17+H18+H19+H20+H21+H22</f>
        <v/>
      </c>
      <c r="I23" s="46">
        <f>I6+I7+I8+I10+I11+I12+I13+I14+I16+I17+I18+I19+I20+I21+I22</f>
        <v/>
      </c>
      <c r="K23" s="22" t="inlineStr">
        <is>
          <t>NI+D&amp;A+SBC+非现金调整+WC变动</t>
        </is>
      </c>
    </row>
    <row r="25">
      <c r="A25" s="14" t="inlineStr">
        <is>
          <t>Investing Activities 投资活动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49" t="inlineStr">
        <is>
          <t>CapEx 资本支出</t>
        </is>
      </c>
      <c r="B26" s="43" t="n">
        <v>-32251</v>
      </c>
      <c r="C26" s="43" t="n">
        <v>-52535</v>
      </c>
      <c r="D26" s="43" t="n">
        <v>-91447</v>
      </c>
      <c r="E26" s="44">
        <f>-Assumptions!$I$72</f>
        <v/>
      </c>
      <c r="F26" s="44">
        <f>-Assumptions!$I$73</f>
        <v/>
      </c>
      <c r="G26" s="44">
        <f>-Assumptions!$I$74</f>
        <v/>
      </c>
      <c r="H26" s="44">
        <f>-Assumptions!$I$75</f>
        <v/>
      </c>
      <c r="I26" s="44">
        <f>-Assumptions!$I$76</f>
        <v/>
      </c>
      <c r="K26" s="22" t="inlineStr">
        <is>
          <t>2026=$180B per mgmt guidance</t>
        </is>
      </c>
    </row>
    <row r="27">
      <c r="A27" s="12" t="inlineStr">
        <is>
          <t xml:space="preserve">  CapEx / Revenue</t>
        </is>
      </c>
      <c r="B27" s="10">
        <f>-B26/Consolidated_PL!B5</f>
        <v/>
      </c>
      <c r="C27" s="10">
        <f>-C26/Consolidated_PL!C5</f>
        <v/>
      </c>
      <c r="D27" s="10">
        <f>-D26/Consolidated_PL!D5</f>
        <v/>
      </c>
      <c r="E27" s="10">
        <f>-E26/Consolidated_PL!E5</f>
        <v/>
      </c>
      <c r="F27" s="10">
        <f>-F26/Consolidated_PL!F5</f>
        <v/>
      </c>
      <c r="G27" s="10">
        <f>-G26/Consolidated_PL!G5</f>
        <v/>
      </c>
      <c r="H27" s="10">
        <f>-H26/Consolidated_PL!H5</f>
        <v/>
      </c>
      <c r="I27" s="10">
        <f>-I26/Consolidated_PL!I5</f>
        <v/>
      </c>
    </row>
    <row r="28">
      <c r="A28" s="49" t="inlineStr">
        <is>
          <t>Chg NonMkt Securities 非上市证券</t>
        </is>
      </c>
      <c r="B28" s="43" t="n">
        <v>-3626</v>
      </c>
      <c r="C28" s="43" t="n">
        <v>-9750</v>
      </c>
      <c r="D28" s="43" t="n">
        <v>-8311</v>
      </c>
      <c r="E28" s="44">
        <f>-(BS!E14-BS!D14)</f>
        <v/>
      </c>
      <c r="F28" s="44">
        <f>-(BS!F14-BS!E14)</f>
        <v/>
      </c>
      <c r="G28" s="44">
        <f>-(BS!G14-BS!F14)</f>
        <v/>
      </c>
      <c r="H28" s="44">
        <f>-(BS!H14-BS!G14)</f>
        <v/>
      </c>
      <c r="I28" s="44">
        <f>-(BS!I14-BS!H14)</f>
        <v/>
      </c>
      <c r="K28" s="22" t="inlineStr">
        <is>
          <t>非上市证券净投资(增加为负)</t>
        </is>
      </c>
    </row>
    <row r="29">
      <c r="A29" s="49" t="inlineStr">
        <is>
          <t>Acquisitions 收购 (Goodwill)</t>
        </is>
      </c>
      <c r="B29" s="43" t="n">
        <v>0</v>
      </c>
      <c r="C29" s="43" t="n">
        <v>0</v>
      </c>
      <c r="D29" s="43" t="n">
        <v>0</v>
      </c>
      <c r="E29" s="44">
        <f>-(BS!E18-BS!D18)</f>
        <v/>
      </c>
      <c r="F29" s="44">
        <f>-(BS!F18-BS!E18)</f>
        <v/>
      </c>
      <c r="G29" s="44">
        <f>-(BS!G18-BS!F18)</f>
        <v/>
      </c>
      <c r="H29" s="44">
        <f>-(BS!H18-BS!G18)</f>
        <v/>
      </c>
      <c r="I29" s="44">
        <f>-(BS!I18-BS!H18)</f>
        <v/>
      </c>
      <c r="K29" s="22" t="inlineStr">
        <is>
          <t>商誉增加=并购现金流出</t>
        </is>
      </c>
    </row>
    <row r="30">
      <c r="A30" s="49" t="inlineStr">
        <is>
          <t>Other Investing 其他投资</t>
        </is>
      </c>
      <c r="B30" s="43" t="n">
        <v>0</v>
      </c>
      <c r="C30" s="43" t="n">
        <v>0</v>
      </c>
      <c r="D30" s="43" t="n">
        <v>0</v>
      </c>
      <c r="E30" s="44">
        <f>-(BS!E19-BS!D19)</f>
        <v/>
      </c>
      <c r="F30" s="44">
        <f>-(BS!F19-BS!E19)</f>
        <v/>
      </c>
      <c r="G30" s="44">
        <f>-(BS!G19-BS!F19)</f>
        <v/>
      </c>
      <c r="H30" s="44">
        <f>-(BS!H19-BS!G19)</f>
        <v/>
      </c>
      <c r="I30" s="44">
        <f>-(BS!I19-BS!H19)</f>
        <v/>
      </c>
      <c r="K30" s="22" t="inlineStr">
        <is>
          <t>无形资产/其他非流动</t>
        </is>
      </c>
    </row>
    <row r="31">
      <c r="A31" s="49" t="inlineStr">
        <is>
          <t>Net MktSec Activity 有价证券净投资</t>
        </is>
      </c>
      <c r="B31" s="43" t="n">
        <v>8814</v>
      </c>
      <c r="C31" s="43" t="n">
        <v>16749</v>
      </c>
      <c r="D31" s="43" t="n">
        <v>-20533</v>
      </c>
      <c r="E31" s="44">
        <f>-(BS!E7-BS!D7)</f>
        <v/>
      </c>
      <c r="F31" s="44">
        <f>-(BS!F7-BS!E7)</f>
        <v/>
      </c>
      <c r="G31" s="44">
        <f>-(BS!G7-BS!F7)</f>
        <v/>
      </c>
      <c r="H31" s="44">
        <f>-(BS!H7-BS!G7)</f>
        <v/>
      </c>
      <c r="I31" s="44">
        <f>-(BS!I7-BS!H7)</f>
        <v/>
      </c>
      <c r="K31" s="22" t="inlineStr">
        <is>
          <t>有价证券增加=现金流出(Base=0)</t>
        </is>
      </c>
    </row>
    <row r="32">
      <c r="A32" s="45" t="inlineStr">
        <is>
          <t>CFI 投资活动净现金</t>
        </is>
      </c>
      <c r="B32" s="56" t="n">
        <v>-27063</v>
      </c>
      <c r="C32" s="56" t="n">
        <v>-45536</v>
      </c>
      <c r="D32" s="56" t="n">
        <v>-120291</v>
      </c>
      <c r="E32" s="46">
        <f>E26+E28+E29+E30+E31</f>
        <v/>
      </c>
      <c r="F32" s="46">
        <f>F26+F28+F29+F30+F31</f>
        <v/>
      </c>
      <c r="G32" s="46">
        <f>G26+G28+G29+G30+G31</f>
        <v/>
      </c>
      <c r="H32" s="46">
        <f>H26+H28+H29+H30+H31</f>
        <v/>
      </c>
      <c r="I32" s="46">
        <f>I26+I28+I29+I30+I31</f>
        <v/>
      </c>
      <c r="K32" s="22" t="inlineStr">
        <is>
          <t>CapEx+证券+收购+其他</t>
        </is>
      </c>
    </row>
    <row r="34">
      <c r="A34" s="47" t="inlineStr">
        <is>
          <t>FCF 自由现金流 (=CFO+CapEx)</t>
        </is>
      </c>
      <c r="B34" s="48">
        <f>B23+B26</f>
        <v/>
      </c>
      <c r="C34" s="48">
        <f>C23+C26</f>
        <v/>
      </c>
      <c r="D34" s="48">
        <f>D23+D26</f>
        <v/>
      </c>
      <c r="E34" s="48">
        <f>E23+E26</f>
        <v/>
      </c>
      <c r="F34" s="48">
        <f>F23+F26</f>
        <v/>
      </c>
      <c r="G34" s="48">
        <f>G23+G26</f>
        <v/>
      </c>
      <c r="H34" s="48">
        <f>H23+H26</f>
        <v/>
      </c>
      <c r="I34" s="48">
        <f>I23+I26</f>
        <v/>
      </c>
      <c r="K34" s="22" t="inlineStr">
        <is>
          <t>CFO-|CapEx| (资本配置前)</t>
        </is>
      </c>
    </row>
    <row r="35">
      <c r="A35" s="12" t="inlineStr">
        <is>
          <t xml:space="preserve">  FCF Margin 自由现金流率</t>
        </is>
      </c>
      <c r="B35" s="10">
        <f>B34/Consolidated_PL!B5</f>
        <v/>
      </c>
      <c r="C35" s="10">
        <f>C34/Consolidated_PL!C5</f>
        <v/>
      </c>
      <c r="D35" s="10">
        <f>D34/Consolidated_PL!D5</f>
        <v/>
      </c>
      <c r="E35" s="10">
        <f>E34/Consolidated_PL!E5</f>
        <v/>
      </c>
      <c r="F35" s="10">
        <f>F34/Consolidated_PL!F5</f>
        <v/>
      </c>
      <c r="G35" s="10">
        <f>G34/Consolidated_PL!G5</f>
        <v/>
      </c>
      <c r="H35" s="10">
        <f>H34/Consolidated_PL!H5</f>
        <v/>
      </c>
      <c r="I35" s="10">
        <f>I34/Consolidated_PL!I5</f>
        <v/>
      </c>
    </row>
    <row r="37">
      <c r="A37" s="14" t="inlineStr">
        <is>
          <t>Financing Activities 融资活动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49" t="inlineStr">
        <is>
          <t>Share Repurchases 股份回购</t>
        </is>
      </c>
      <c r="B38" s="43" t="n">
        <v>-61504</v>
      </c>
      <c r="C38" s="43" t="n">
        <v>-62222</v>
      </c>
      <c r="D38" s="43" t="n">
        <v>-45709</v>
      </c>
      <c r="E38" s="44">
        <f>-Assumptions!$I$79</f>
        <v/>
      </c>
      <c r="F38" s="44">
        <f>-Assumptions!$I$79</f>
        <v/>
      </c>
      <c r="G38" s="44">
        <f>-Assumptions!$I$79</f>
        <v/>
      </c>
      <c r="H38" s="44">
        <f>-Assumptions!$I$79</f>
        <v/>
      </c>
      <c r="I38" s="44">
        <f>-Assumptions!$I$79</f>
        <v/>
      </c>
      <c r="K38" s="22" t="inlineStr">
        <is>
          <t>链接自Assumptions回购假设</t>
        </is>
      </c>
    </row>
    <row r="39">
      <c r="A39" s="49" t="inlineStr">
        <is>
          <t>Dividends Paid 股息支付</t>
        </is>
      </c>
      <c r="B39" s="43" t="n">
        <v>0</v>
      </c>
      <c r="C39" s="43" t="n">
        <v>-7363</v>
      </c>
      <c r="D39" s="43" t="n">
        <v>-10049</v>
      </c>
      <c r="E39" s="44">
        <f>-Assumptions!$I$80*Consolidated_PL!E40</f>
        <v/>
      </c>
      <c r="F39" s="44">
        <f>-Assumptions!$I$80*Consolidated_PL!F40</f>
        <v/>
      </c>
      <c r="G39" s="44">
        <f>-Assumptions!$I$80*Consolidated_PL!G40</f>
        <v/>
      </c>
      <c r="H39" s="44">
        <f>-Assumptions!$I$80*Consolidated_PL!H40</f>
        <v/>
      </c>
      <c r="I39" s="44">
        <f>-Assumptions!$I$80*Consolidated_PL!I40</f>
        <v/>
      </c>
      <c r="K39" s="22" t="inlineStr">
        <is>
          <t>-DPS×稀释股数</t>
        </is>
      </c>
    </row>
    <row r="40">
      <c r="A40" s="49" t="inlineStr">
        <is>
          <t>Stock Net Settlement 股权净结算</t>
        </is>
      </c>
      <c r="B40" s="43" t="n">
        <v>-9837</v>
      </c>
      <c r="C40" s="43" t="n">
        <v>-12190</v>
      </c>
      <c r="D40" s="43" t="n">
        <v>-14167</v>
      </c>
      <c r="E40" s="44">
        <f>-Consolidated_PL!E38*Assumptions!$I$93</f>
        <v/>
      </c>
      <c r="F40" s="44">
        <f>-Consolidated_PL!F38*Assumptions!$I$93</f>
        <v/>
      </c>
      <c r="G40" s="44">
        <f>-Consolidated_PL!G38*Assumptions!$I$93</f>
        <v/>
      </c>
      <c r="H40" s="44">
        <f>-Consolidated_PL!H38*Assumptions!$I$93</f>
        <v/>
      </c>
      <c r="I40" s="44">
        <f>-Consolidated_PL!I38*Assumptions!$I$93</f>
        <v/>
      </c>
      <c r="K40" s="22" t="inlineStr">
        <is>
          <t>-SBC×结算率(RSU税代扣)</t>
        </is>
      </c>
    </row>
    <row r="41">
      <c r="A41" s="49" t="inlineStr">
        <is>
          <t>Net Debt Issuance 净债务融资</t>
        </is>
      </c>
      <c r="B41" s="43" t="n">
        <v>-760</v>
      </c>
      <c r="C41" s="43" t="n">
        <v>888</v>
      </c>
      <c r="D41" s="43" t="n">
        <v>32137</v>
      </c>
      <c r="E41" s="44">
        <f>Assumptions!$I$97</f>
        <v/>
      </c>
      <c r="F41" s="44">
        <f>Assumptions!$I$98</f>
        <v/>
      </c>
      <c r="G41" s="44">
        <f>Assumptions!$I$99</f>
        <v/>
      </c>
      <c r="H41" s="44">
        <f>Assumptions!$I$100</f>
        <v/>
      </c>
      <c r="I41" s="44">
        <f>Assumptions!$I$101</f>
        <v/>
      </c>
      <c r="K41" s="22" t="inlineStr">
        <is>
          <t>链接自Assumptions融资计划</t>
        </is>
      </c>
    </row>
    <row r="42">
      <c r="A42" s="45" t="inlineStr">
        <is>
          <t>CFF 融资活动净现金</t>
        </is>
      </c>
      <c r="B42" s="56" t="n">
        <v>-72093</v>
      </c>
      <c r="C42" s="56" t="n">
        <v>-79733</v>
      </c>
      <c r="D42" s="56" t="n">
        <v>-37388</v>
      </c>
      <c r="E42" s="46">
        <f>E38+E39+E40+E41</f>
        <v/>
      </c>
      <c r="F42" s="46">
        <f>F38+F39+F40+F41</f>
        <v/>
      </c>
      <c r="G42" s="46">
        <f>G38+G39+G40+G41</f>
        <v/>
      </c>
      <c r="H42" s="46">
        <f>H38+H39+H40+H41</f>
        <v/>
      </c>
      <c r="I42" s="46">
        <f>I38+I39+I40+I41</f>
        <v/>
      </c>
      <c r="K42" s="22" t="inlineStr">
        <is>
          <t>回购+股息+股权结算+净融资</t>
        </is>
      </c>
    </row>
    <row r="44">
      <c r="A44" s="14" t="inlineStr">
        <is>
          <t>Cash Reconciliation 现金勾稽 (→ BS!Cash)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7" t="inlineStr">
        <is>
          <t>Net Change in Cash 现金净变动</t>
        </is>
      </c>
      <c r="B45" s="44">
        <f>B23+B32+B42</f>
        <v/>
      </c>
      <c r="C45" s="44">
        <f>C23+C32+C42</f>
        <v/>
      </c>
      <c r="D45" s="44">
        <f>D23+D32+D42</f>
        <v/>
      </c>
      <c r="E45" s="44">
        <f>E23+E32+E42</f>
        <v/>
      </c>
      <c r="F45" s="44">
        <f>F23+F32+F42</f>
        <v/>
      </c>
      <c r="G45" s="44">
        <f>G23+G32+G42</f>
        <v/>
      </c>
      <c r="H45" s="44">
        <f>H23+H32+H42</f>
        <v/>
      </c>
      <c r="I45" s="44">
        <f>I23+I32+I42</f>
        <v/>
      </c>
      <c r="K45" s="22" t="inlineStr">
        <is>
          <t>CFO+CFI+CFF</t>
        </is>
      </c>
    </row>
    <row r="46">
      <c r="A46" s="49" t="inlineStr">
        <is>
          <t>Beginning Cash 期初现金</t>
        </is>
      </c>
      <c r="C46" s="43" t="n">
        <v>24048</v>
      </c>
      <c r="D46" s="43" t="n">
        <v>23466</v>
      </c>
      <c r="E46" s="44">
        <f>D47</f>
        <v/>
      </c>
      <c r="F46" s="44">
        <f>E47</f>
        <v/>
      </c>
      <c r="G46" s="44">
        <f>F47</f>
        <v/>
      </c>
      <c r="H46" s="44">
        <f>G47</f>
        <v/>
      </c>
      <c r="I46" s="44">
        <f>H47</f>
        <v/>
      </c>
      <c r="K46" s="22" t="inlineStr">
        <is>
          <t>上期末现金</t>
        </is>
      </c>
    </row>
    <row r="47">
      <c r="A47" s="47" t="inlineStr">
        <is>
          <t>Ending Cash 期末现金 ★</t>
        </is>
      </c>
      <c r="B47" s="55" t="n">
        <v>24048</v>
      </c>
      <c r="C47" s="55" t="n">
        <v>23466</v>
      </c>
      <c r="D47" s="55" t="n">
        <v>30708</v>
      </c>
      <c r="E47" s="48">
        <f>E46+E45</f>
        <v/>
      </c>
      <c r="F47" s="48">
        <f>F46+F45</f>
        <v/>
      </c>
      <c r="G47" s="48">
        <f>G46+G45</f>
        <v/>
      </c>
      <c r="H47" s="48">
        <f>H46+H45</f>
        <v/>
      </c>
      <c r="I47" s="48">
        <f>I46+I45</f>
        <v/>
      </c>
      <c r="K47" s="22" t="inlineStr">
        <is>
          <t>期初+净变动 → 链接至BS!Cash</t>
        </is>
      </c>
    </row>
    <row r="49">
      <c r="A49" s="50" t="inlineStr">
        <is>
          <t>验证: BS Balance Check (Assets-L&amp;E)</t>
        </is>
      </c>
      <c r="B49" s="50" t="n"/>
      <c r="C49" s="50" t="n"/>
      <c r="D49" s="50" t="n"/>
      <c r="E49" s="51">
        <f>BS!E21-BS!E42</f>
        <v/>
      </c>
      <c r="F49" s="51">
        <f>BS!F21-BS!F42</f>
        <v/>
      </c>
      <c r="G49" s="51">
        <f>BS!G21-BS!G42</f>
        <v/>
      </c>
      <c r="H49" s="51">
        <f>BS!H21-BS!H42</f>
        <v/>
      </c>
      <c r="I49" s="51">
        <f>BS!I21-BS!I42</f>
        <v/>
      </c>
      <c r="K49" s="22" t="inlineStr">
        <is>
          <t>应为0 → 证明三表完美联动</t>
        </is>
      </c>
    </row>
    <row r="52">
      <c r="A52" s="17" t="inlineStr">
        <is>
          <t>数据图例 Data Legend:</t>
        </is>
      </c>
    </row>
    <row r="53">
      <c r="A53" s="16" t="inlineStr">
        <is>
          <t xml:space="preserve">  蓝色字体 Blue Font = 财报原始数据 Hardcoded from financials</t>
        </is>
      </c>
    </row>
    <row r="54">
      <c r="A54" s="16" t="inlineStr">
        <is>
          <t xml:space="preserve">  绿色字体 Green Font = 链接自其他工作表 Links from other sheets</t>
        </is>
      </c>
    </row>
    <row r="55">
      <c r="A55" s="16" t="inlineStr">
        <is>
          <t xml:space="preserve">  蓝底深蓝字体 Blue Fill = 可编辑假设 Editable assumption inputs</t>
        </is>
      </c>
    </row>
    <row r="56">
      <c r="A56" s="16" t="inlineStr">
        <is>
          <t xml:space="preserve">  黄底粗体 Yellow Fill = 关键输出 Key output rows</t>
        </is>
      </c>
    </row>
    <row r="57">
      <c r="A57" s="16" t="inlineStr">
        <is>
          <t xml:space="preserve">  黑色字体 Black Font = 公式计算 Calculated from formulas</t>
        </is>
      </c>
    </row>
    <row r="59">
      <c r="A59" s="17" t="inlineStr">
        <is>
          <t>数据来源 Data Sources:</t>
        </is>
      </c>
    </row>
    <row r="60">
      <c r="A60" s="16" t="inlineStr">
        <is>
          <t xml:space="preserve">  • Alphabet 2025 10-K Annual Report (filed Feb 4, 2026) - Consolidated Financial Statements pp.48-52</t>
        </is>
      </c>
    </row>
    <row r="61">
      <c r="A61" s="16" t="inlineStr">
        <is>
          <t xml:space="preserve">  • Alphabet 2025 10-K Note 15: Segment Information (Google Services, Cloud, Other Bets)</t>
        </is>
      </c>
    </row>
    <row r="62">
      <c r="A62" s="16" t="inlineStr">
        <is>
          <t xml:space="preserve">  • Q4 2025 Earnings Call (Feb 4, 2026): CapEx 2026 guidance $75B (single quarter) → annualized ~$180B</t>
        </is>
      </c>
    </row>
    <row r="63">
      <c r="A63" s="16" t="inlineStr">
        <is>
          <t xml:space="preserve">  • 10Y UST yield ~4.2% (Feb 2026), Fed 2% long-term inflation target</t>
        </is>
      </c>
    </row>
  </sheetData>
  <mergeCells count="6">
    <mergeCell ref="A15:K15"/>
    <mergeCell ref="A25:K25"/>
    <mergeCell ref="A44:K44"/>
    <mergeCell ref="A5:K5"/>
    <mergeCell ref="A37:K37"/>
    <mergeCell ref="A9:K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</cols>
  <sheetData>
    <row r="1">
      <c r="A1" s="4" t="inlineStr">
        <is>
          <t>DCF Valuation DCF估值 (USD mm)</t>
        </is>
      </c>
    </row>
    <row r="2">
      <c r="A2" s="5" t="inlineStr">
        <is>
          <t>CapEx 2026 = $180B per mgmt guidance</t>
        </is>
      </c>
    </row>
    <row r="4">
      <c r="A4" s="42" t="n"/>
      <c r="B4" s="6" t="inlineStr">
        <is>
          <t>2026E</t>
        </is>
      </c>
      <c r="C4" s="6" t="inlineStr">
        <is>
          <t>2027E</t>
        </is>
      </c>
      <c r="D4" s="6" t="inlineStr">
        <is>
          <t>2028E</t>
        </is>
      </c>
      <c r="E4" s="6" t="inlineStr">
        <is>
          <t>2029E</t>
        </is>
      </c>
      <c r="F4" s="6" t="inlineStr">
        <is>
          <t>2030E</t>
        </is>
      </c>
      <c r="G4" s="6" t="inlineStr">
        <is>
          <t>Notes / 预测逻辑</t>
        </is>
      </c>
    </row>
    <row r="6">
      <c r="A6" s="7" t="inlineStr">
        <is>
          <t>EBIT 经营利润</t>
        </is>
      </c>
      <c r="B6" s="8">
        <f>Consolidated_PL!E26</f>
        <v/>
      </c>
      <c r="C6" s="8">
        <f>Consolidated_PL!F26</f>
        <v/>
      </c>
      <c r="D6" s="8">
        <f>Consolidated_PL!G26</f>
        <v/>
      </c>
      <c r="E6" s="8">
        <f>Consolidated_PL!H26</f>
        <v/>
      </c>
      <c r="F6" s="8">
        <f>Consolidated_PL!I26</f>
        <v/>
      </c>
      <c r="G6" s="9" t="inlineStr">
        <is>
          <t>链接自Consolidated_PL</t>
        </is>
      </c>
    </row>
    <row r="7">
      <c r="A7" s="49" t="inlineStr">
        <is>
          <t>(-) Tax on EBIT EBIT税负</t>
        </is>
      </c>
      <c r="B7" s="44">
        <f>B6*Assumptions!$I$11</f>
        <v/>
      </c>
      <c r="C7" s="44">
        <f>C6*Assumptions!$I$11</f>
        <v/>
      </c>
      <c r="D7" s="44">
        <f>D6*Assumptions!$I$11</f>
        <v/>
      </c>
      <c r="E7" s="44">
        <f>E6*Assumptions!$I$11</f>
        <v/>
      </c>
      <c r="F7" s="44">
        <f>F6*Assumptions!$I$11</f>
        <v/>
      </c>
    </row>
    <row r="8">
      <c r="A8" s="7" t="inlineStr">
        <is>
          <t>NOPAT 税后净营业利润</t>
        </is>
      </c>
      <c r="B8" s="44">
        <f>B6-B7</f>
        <v/>
      </c>
      <c r="C8" s="44">
        <f>C6-C7</f>
        <v/>
      </c>
      <c r="D8" s="44">
        <f>D6-D7</f>
        <v/>
      </c>
      <c r="E8" s="44">
        <f>E6-E7</f>
        <v/>
      </c>
      <c r="F8" s="44">
        <f>F6-F7</f>
        <v/>
      </c>
      <c r="G8" s="9" t="inlineStr">
        <is>
          <t>EBIT×(1-Tax Rate)</t>
        </is>
      </c>
    </row>
    <row r="9">
      <c r="A9" s="49" t="inlineStr">
        <is>
          <t>(+) D&amp;A 折旧摊销</t>
        </is>
      </c>
      <c r="B9" s="8">
        <f>Consolidated_PL!E37</f>
        <v/>
      </c>
      <c r="C9" s="8">
        <f>Consolidated_PL!F37</f>
        <v/>
      </c>
      <c r="D9" s="8">
        <f>Consolidated_PL!G37</f>
        <v/>
      </c>
      <c r="E9" s="8">
        <f>Consolidated_PL!H37</f>
        <v/>
      </c>
      <c r="F9" s="8">
        <f>Consolidated_PL!I37</f>
        <v/>
      </c>
    </row>
    <row r="10">
      <c r="A10" s="49" t="inlineStr">
        <is>
          <t>(-) CapEx 资本支出</t>
        </is>
      </c>
      <c r="B10" s="44">
        <f>Assumptions!$I$72</f>
        <v/>
      </c>
      <c r="C10" s="44">
        <f>Assumptions!$I$73</f>
        <v/>
      </c>
      <c r="D10" s="44">
        <f>Assumptions!$I$74</f>
        <v/>
      </c>
      <c r="E10" s="44">
        <f>Assumptions!$I$75</f>
        <v/>
      </c>
      <c r="F10" s="44">
        <f>Assumptions!$I$76</f>
        <v/>
      </c>
      <c r="G10" s="9" t="inlineStr">
        <is>
          <t>2026=$180B management guidance</t>
        </is>
      </c>
    </row>
    <row r="11">
      <c r="A11" s="49" t="inlineStr">
        <is>
          <t>(-) Change in NWC 净营运资本变动</t>
        </is>
      </c>
      <c r="B11" s="44">
        <f>(Consolidated_PL!E5-Consolidated_PL!D5)*Assumptions!$I$68</f>
        <v/>
      </c>
      <c r="C11" s="44">
        <f>(Consolidated_PL!F5-Consolidated_PL!E5)*Assumptions!$I$68</f>
        <v/>
      </c>
      <c r="D11" s="44">
        <f>(Consolidated_PL!G5-Consolidated_PL!F5)*Assumptions!$I$68</f>
        <v/>
      </c>
      <c r="E11" s="44">
        <f>(Consolidated_PL!H5-Consolidated_PL!G5)*Assumptions!$I$68</f>
        <v/>
      </c>
      <c r="F11" s="44">
        <f>(Consolidated_PL!I5-Consolidated_PL!H5)*Assumptions!$I$68</f>
        <v/>
      </c>
    </row>
    <row r="12">
      <c r="A12" s="47" t="inlineStr">
        <is>
          <t>UFCF 无杠杆自由现金流</t>
        </is>
      </c>
      <c r="B12" s="48">
        <f>B8+B9-B10-B11</f>
        <v/>
      </c>
      <c r="C12" s="48">
        <f>C8+C9-C10-C11</f>
        <v/>
      </c>
      <c r="D12" s="48">
        <f>D8+D9-D10-D11</f>
        <v/>
      </c>
      <c r="E12" s="48">
        <f>E8+E9-E10-E11</f>
        <v/>
      </c>
      <c r="F12" s="48">
        <f>F8+F9-F10-F11</f>
        <v/>
      </c>
      <c r="G12" s="9" t="inlineStr">
        <is>
          <t>NOPAT+D&amp;A-CapEx-ΔNWC</t>
        </is>
      </c>
    </row>
    <row r="13">
      <c r="A13" s="49" t="inlineStr">
        <is>
          <t>Discount Factor 折现因子</t>
        </is>
      </c>
      <c r="B13" s="57">
        <f>1/(1+Assumptions!$I$18)^1</f>
        <v/>
      </c>
      <c r="C13" s="57">
        <f>1/(1+Assumptions!$I$18)^2</f>
        <v/>
      </c>
      <c r="D13" s="57">
        <f>1/(1+Assumptions!$I$18)^3</f>
        <v/>
      </c>
      <c r="E13" s="57">
        <f>1/(1+Assumptions!$I$18)^4</f>
        <v/>
      </c>
      <c r="F13" s="57">
        <f>1/(1+Assumptions!$I$18)^5</f>
        <v/>
      </c>
    </row>
    <row r="14">
      <c r="A14" s="7" t="inlineStr">
        <is>
          <t>PV of UFCF UFCF现值</t>
        </is>
      </c>
      <c r="B14" s="44">
        <f>B12*B13</f>
        <v/>
      </c>
      <c r="C14" s="44">
        <f>C12*C13</f>
        <v/>
      </c>
      <c r="D14" s="44">
        <f>D12*D13</f>
        <v/>
      </c>
      <c r="E14" s="44">
        <f>E12*E13</f>
        <v/>
      </c>
      <c r="F14" s="44">
        <f>F12*F13</f>
        <v/>
      </c>
    </row>
    <row r="16">
      <c r="A16" s="7" t="inlineStr">
        <is>
          <t>TV 终值 (Gordon Growth Model)</t>
        </is>
      </c>
      <c r="B16" s="44">
        <f>F12*(1+Assumptions!$I$13)/(Assumptions!$I$18-Assumptions!$I$13)</f>
        <v/>
      </c>
      <c r="G16" s="9" t="inlineStr">
        <is>
          <t>UFCF₂₀₃₀×(1+g)/(WACC-g)</t>
        </is>
      </c>
    </row>
    <row r="17">
      <c r="A17" s="7" t="inlineStr">
        <is>
          <t>PV of TV 终值现值</t>
        </is>
      </c>
      <c r="B17" s="44">
        <f>B16*F13</f>
        <v/>
      </c>
    </row>
    <row r="18">
      <c r="A18" s="12" t="inlineStr">
        <is>
          <t>TV as % of EV TV占比</t>
        </is>
      </c>
      <c r="B18" s="13">
        <f>B17/(SUM(B14:F14)+B17)</f>
        <v/>
      </c>
    </row>
    <row r="20">
      <c r="A20" s="7" t="inlineStr">
        <is>
          <t>Sum of PV of UFCF UFCF现值合计</t>
        </is>
      </c>
      <c r="B20" s="44">
        <f>SUM(B14:F14)</f>
        <v/>
      </c>
      <c r="G20" s="9" t="inlineStr">
        <is>
          <t>5年UFCF折现合计</t>
        </is>
      </c>
    </row>
    <row r="21">
      <c r="A21" s="7" t="inlineStr">
        <is>
          <t>PV of TV 终值现值</t>
        </is>
      </c>
      <c r="B21" s="44">
        <f>B17</f>
        <v/>
      </c>
    </row>
    <row r="22">
      <c r="A22" s="45" t="inlineStr">
        <is>
          <t>EV 企业价值</t>
        </is>
      </c>
      <c r="B22" s="46">
        <f>B20+B21</f>
        <v/>
      </c>
      <c r="G22" s="9">
        <f>UFCF PV + TV PV</f>
        <v/>
      </c>
    </row>
    <row r="23">
      <c r="A23" s="7" t="inlineStr">
        <is>
          <t>(+) Cash &amp; Securities 加回现金</t>
        </is>
      </c>
      <c r="B23" s="44">
        <f>Assumptions!$I$21</f>
        <v/>
      </c>
      <c r="G23" s="9" t="inlineStr">
        <is>
          <t>年末现金+有价证券</t>
        </is>
      </c>
    </row>
    <row r="24">
      <c r="A24" s="7" t="inlineStr">
        <is>
          <t>(-) Total Debt 减去债务</t>
        </is>
      </c>
      <c r="B24" s="44">
        <f>Assumptions!$I$22</f>
        <v/>
      </c>
      <c r="G24" s="9" t="inlineStr">
        <is>
          <t>短期+长期债务</t>
        </is>
      </c>
    </row>
    <row r="25">
      <c r="A25" s="45" t="inlineStr">
        <is>
          <t>Equity Value 股权价值</t>
        </is>
      </c>
      <c r="B25" s="46">
        <f>B22+B23-B24</f>
        <v/>
      </c>
      <c r="G25" s="9">
        <f>EV+Cash-Debt</f>
        <v/>
      </c>
    </row>
    <row r="26">
      <c r="A26" s="7" t="inlineStr">
        <is>
          <t>Diluted Shares 稀释股数 (mm)</t>
        </is>
      </c>
      <c r="B26" s="44">
        <f>Assumptions!$I$23</f>
        <v/>
      </c>
    </row>
    <row r="27">
      <c r="A27" s="47" t="inlineStr">
        <is>
          <t>Implied Share Price 隐含股价</t>
        </is>
      </c>
      <c r="B27" s="54">
        <f>B25/B26</f>
        <v/>
      </c>
      <c r="G27" s="9">
        <f>Equity Value / Shares</f>
        <v/>
      </c>
    </row>
    <row r="31">
      <c r="A31" s="17" t="inlineStr">
        <is>
          <t>数据图例 Data Legend:</t>
        </is>
      </c>
    </row>
    <row r="32">
      <c r="A32" s="16" t="inlineStr">
        <is>
          <t xml:space="preserve">  蓝色字体 Blue Font = 财报原始数据 Hardcoded from financials</t>
        </is>
      </c>
    </row>
    <row r="33">
      <c r="A33" s="16" t="inlineStr">
        <is>
          <t xml:space="preserve">  绿色字体 Green Font = 链接自其他工作表 Links from other sheets</t>
        </is>
      </c>
    </row>
    <row r="34">
      <c r="A34" s="16" t="inlineStr">
        <is>
          <t xml:space="preserve">  蓝底深蓝字体 Blue Fill = 可编辑假设 Editable assumption inputs</t>
        </is>
      </c>
    </row>
    <row r="35">
      <c r="A35" s="16" t="inlineStr">
        <is>
          <t xml:space="preserve">  黄底粗体 Yellow Fill = 关键输出 Key output rows</t>
        </is>
      </c>
    </row>
    <row r="36">
      <c r="A36" s="16" t="inlineStr">
        <is>
          <t xml:space="preserve">  黑色字体 Black Font = 公式计算 Calculated from formulas</t>
        </is>
      </c>
    </row>
    <row r="38">
      <c r="A38" s="17" t="inlineStr">
        <is>
          <t>数据来源 Data Sources:</t>
        </is>
      </c>
    </row>
    <row r="39">
      <c r="A39" s="16" t="inlineStr">
        <is>
          <t xml:space="preserve">  • Alphabet 2025 10-K Annual Report (filed Feb 4, 2026) - Consolidated Financial Statements pp.48-52</t>
        </is>
      </c>
    </row>
    <row r="40">
      <c r="A40" s="16" t="inlineStr">
        <is>
          <t xml:space="preserve">  • Alphabet 2025 10-K Note 15: Segment Information (Google Services, Cloud, Other Bets)</t>
        </is>
      </c>
    </row>
    <row r="41">
      <c r="A41" s="16" t="inlineStr">
        <is>
          <t xml:space="preserve">  • Q4 2025 Earnings Call (Feb 4, 2026): CapEx 2026 guidance $75B (single quarter) → annualized ~$180B</t>
        </is>
      </c>
    </row>
    <row r="42">
      <c r="A42" s="16" t="inlineStr">
        <is>
          <t xml:space="preserve">  • 10Y UST yield ~4.2% (Feb 2026), Fed 2% long-term inflation 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Sensitivity 敏感性分析 - Implied Share Price (USD)</t>
        </is>
      </c>
    </row>
    <row r="2">
      <c r="A2" s="5" t="inlineStr">
        <is>
          <t>WACC 加权平均资本成本 × g 永续增长率</t>
        </is>
      </c>
    </row>
    <row r="4">
      <c r="A4" s="58" t="inlineStr">
        <is>
          <t>g \ WACC</t>
        </is>
      </c>
      <c r="B4" s="59" t="n">
        <v>0.075</v>
      </c>
      <c r="C4" s="59" t="n">
        <v>0.08</v>
      </c>
      <c r="D4" s="59" t="n">
        <v>0.08500000000000001</v>
      </c>
      <c r="E4" s="59" t="n">
        <v>0.09</v>
      </c>
      <c r="F4" s="59" t="n">
        <v>0.095</v>
      </c>
      <c r="G4" s="59" t="n">
        <v>0.1</v>
      </c>
      <c r="H4" s="59" t="n">
        <v>0.105</v>
      </c>
    </row>
    <row r="5">
      <c r="A5" s="60" t="n">
        <v>0.02</v>
      </c>
      <c r="B5" s="61">
        <f>(SUM(DCF!B14:F14)+(DCF!F12*(1+$A5)/(B$4-$A5))/((1+B$4)^5)+Assumptions!$I$21-Assumptions!$I$22)/Assumptions!$I$23</f>
        <v/>
      </c>
      <c r="C5" s="61">
        <f>(SUM(DCF!B14:F14)+(DCF!F12*(1+$A5)/(C$4-$A5))/((1+C$4)^5)+Assumptions!$I$21-Assumptions!$I$22)/Assumptions!$I$23</f>
        <v/>
      </c>
      <c r="D5" s="61">
        <f>(SUM(DCF!B14:F14)+(DCF!F12*(1+$A5)/(D$4-$A5))/((1+D$4)^5)+Assumptions!$I$21-Assumptions!$I$22)/Assumptions!$I$23</f>
        <v/>
      </c>
      <c r="E5" s="61">
        <f>(SUM(DCF!B14:F14)+(DCF!F12*(1+$A5)/(E$4-$A5))/((1+E$4)^5)+Assumptions!$I$21-Assumptions!$I$22)/Assumptions!$I$23</f>
        <v/>
      </c>
      <c r="F5" s="61">
        <f>(SUM(DCF!B14:F14)+(DCF!F12*(1+$A5)/(F$4-$A5))/((1+F$4)^5)+Assumptions!$I$21-Assumptions!$I$22)/Assumptions!$I$23</f>
        <v/>
      </c>
      <c r="G5" s="61">
        <f>(SUM(DCF!B14:F14)+(DCF!F12*(1+$A5)/(G$4-$A5))/((1+G$4)^5)+Assumptions!$I$21-Assumptions!$I$22)/Assumptions!$I$23</f>
        <v/>
      </c>
      <c r="H5" s="61">
        <f>(SUM(DCF!B14:F14)+(DCF!F12*(1+$A5)/(H$4-$A5))/((1+H$4)^5)+Assumptions!$I$21-Assumptions!$I$22)/Assumptions!$I$23</f>
        <v/>
      </c>
    </row>
    <row r="6">
      <c r="A6" s="60" t="n">
        <v>0.025</v>
      </c>
      <c r="B6" s="61">
        <f>(SUM(DCF!B14:F14)+(DCF!F12*(1+$A6)/(B$4-$A6))/((1+B$4)^5)+Assumptions!$I$21-Assumptions!$I$22)/Assumptions!$I$23</f>
        <v/>
      </c>
      <c r="C6" s="61">
        <f>(SUM(DCF!B14:F14)+(DCF!F12*(1+$A6)/(C$4-$A6))/((1+C$4)^5)+Assumptions!$I$21-Assumptions!$I$22)/Assumptions!$I$23</f>
        <v/>
      </c>
      <c r="D6" s="61">
        <f>(SUM(DCF!B14:F14)+(DCF!F12*(1+$A6)/(D$4-$A6))/((1+D$4)^5)+Assumptions!$I$21-Assumptions!$I$22)/Assumptions!$I$23</f>
        <v/>
      </c>
      <c r="E6" s="61">
        <f>(SUM(DCF!B14:F14)+(DCF!F12*(1+$A6)/(E$4-$A6))/((1+E$4)^5)+Assumptions!$I$21-Assumptions!$I$22)/Assumptions!$I$23</f>
        <v/>
      </c>
      <c r="F6" s="61">
        <f>(SUM(DCF!B14:F14)+(DCF!F12*(1+$A6)/(F$4-$A6))/((1+F$4)^5)+Assumptions!$I$21-Assumptions!$I$22)/Assumptions!$I$23</f>
        <v/>
      </c>
      <c r="G6" s="61">
        <f>(SUM(DCF!B14:F14)+(DCF!F12*(1+$A6)/(G$4-$A6))/((1+G$4)^5)+Assumptions!$I$21-Assumptions!$I$22)/Assumptions!$I$23</f>
        <v/>
      </c>
      <c r="H6" s="61">
        <f>(SUM(DCF!B14:F14)+(DCF!F12*(1+$A6)/(H$4-$A6))/((1+H$4)^5)+Assumptions!$I$21-Assumptions!$I$22)/Assumptions!$I$23</f>
        <v/>
      </c>
    </row>
    <row r="7">
      <c r="A7" s="60" t="n">
        <v>0.03</v>
      </c>
      <c r="B7" s="61">
        <f>(SUM(DCF!B14:F14)+(DCF!F12*(1+$A7)/(B$4-$A7))/((1+B$4)^5)+Assumptions!$I$21-Assumptions!$I$22)/Assumptions!$I$23</f>
        <v/>
      </c>
      <c r="C7" s="61">
        <f>(SUM(DCF!B14:F14)+(DCF!F12*(1+$A7)/(C$4-$A7))/((1+C$4)^5)+Assumptions!$I$21-Assumptions!$I$22)/Assumptions!$I$23</f>
        <v/>
      </c>
      <c r="D7" s="61">
        <f>(SUM(DCF!B14:F14)+(DCF!F12*(1+$A7)/(D$4-$A7))/((1+D$4)^5)+Assumptions!$I$21-Assumptions!$I$22)/Assumptions!$I$23</f>
        <v/>
      </c>
      <c r="E7" s="61">
        <f>(SUM(DCF!B14:F14)+(DCF!F12*(1+$A7)/(E$4-$A7))/((1+E$4)^5)+Assumptions!$I$21-Assumptions!$I$22)/Assumptions!$I$23</f>
        <v/>
      </c>
      <c r="F7" s="61">
        <f>(SUM(DCF!B14:F14)+(DCF!F12*(1+$A7)/(F$4-$A7))/((1+F$4)^5)+Assumptions!$I$21-Assumptions!$I$22)/Assumptions!$I$23</f>
        <v/>
      </c>
      <c r="G7" s="61">
        <f>(SUM(DCF!B14:F14)+(DCF!F12*(1+$A7)/(G$4-$A7))/((1+G$4)^5)+Assumptions!$I$21-Assumptions!$I$22)/Assumptions!$I$23</f>
        <v/>
      </c>
      <c r="H7" s="61">
        <f>(SUM(DCF!B14:F14)+(DCF!F12*(1+$A7)/(H$4-$A7))/((1+H$4)^5)+Assumptions!$I$21-Assumptions!$I$22)/Assumptions!$I$23</f>
        <v/>
      </c>
    </row>
    <row r="8">
      <c r="A8" s="60" t="n">
        <v>0.035</v>
      </c>
      <c r="B8" s="61">
        <f>(SUM(DCF!B14:F14)+(DCF!F12*(1+$A8)/(B$4-$A8))/((1+B$4)^5)+Assumptions!$I$21-Assumptions!$I$22)/Assumptions!$I$23</f>
        <v/>
      </c>
      <c r="C8" s="61">
        <f>(SUM(DCF!B14:F14)+(DCF!F12*(1+$A8)/(C$4-$A8))/((1+C$4)^5)+Assumptions!$I$21-Assumptions!$I$22)/Assumptions!$I$23</f>
        <v/>
      </c>
      <c r="D8" s="61">
        <f>(SUM(DCF!B14:F14)+(DCF!F12*(1+$A8)/(D$4-$A8))/((1+D$4)^5)+Assumptions!$I$21-Assumptions!$I$22)/Assumptions!$I$23</f>
        <v/>
      </c>
      <c r="E8" s="61">
        <f>(SUM(DCF!B14:F14)+(DCF!F12*(1+$A8)/(E$4-$A8))/((1+E$4)^5)+Assumptions!$I$21-Assumptions!$I$22)/Assumptions!$I$23</f>
        <v/>
      </c>
      <c r="F8" s="61">
        <f>(SUM(DCF!B14:F14)+(DCF!F12*(1+$A8)/(F$4-$A8))/((1+F$4)^5)+Assumptions!$I$21-Assumptions!$I$22)/Assumptions!$I$23</f>
        <v/>
      </c>
      <c r="G8" s="61">
        <f>(SUM(DCF!B14:F14)+(DCF!F12*(1+$A8)/(G$4-$A8))/((1+G$4)^5)+Assumptions!$I$21-Assumptions!$I$22)/Assumptions!$I$23</f>
        <v/>
      </c>
      <c r="H8" s="61">
        <f>(SUM(DCF!B14:F14)+(DCF!F12*(1+$A8)/(H$4-$A8))/((1+H$4)^5)+Assumptions!$I$21-Assumptions!$I$22)/Assumptions!$I$23</f>
        <v/>
      </c>
    </row>
    <row r="9">
      <c r="A9" s="60" t="n">
        <v>0.04</v>
      </c>
      <c r="B9" s="61">
        <f>(SUM(DCF!B14:F14)+(DCF!F12*(1+$A9)/(B$4-$A9))/((1+B$4)^5)+Assumptions!$I$21-Assumptions!$I$22)/Assumptions!$I$23</f>
        <v/>
      </c>
      <c r="C9" s="61">
        <f>(SUM(DCF!B14:F14)+(DCF!F12*(1+$A9)/(C$4-$A9))/((1+C$4)^5)+Assumptions!$I$21-Assumptions!$I$22)/Assumptions!$I$23</f>
        <v/>
      </c>
      <c r="D9" s="61">
        <f>(SUM(DCF!B14:F14)+(DCF!F12*(1+$A9)/(D$4-$A9))/((1+D$4)^5)+Assumptions!$I$21-Assumptions!$I$22)/Assumptions!$I$23</f>
        <v/>
      </c>
      <c r="E9" s="61">
        <f>(SUM(DCF!B14:F14)+(DCF!F12*(1+$A9)/(E$4-$A9))/((1+E$4)^5)+Assumptions!$I$21-Assumptions!$I$22)/Assumptions!$I$23</f>
        <v/>
      </c>
      <c r="F9" s="61">
        <f>(SUM(DCF!B14:F14)+(DCF!F12*(1+$A9)/(F$4-$A9))/((1+F$4)^5)+Assumptions!$I$21-Assumptions!$I$22)/Assumptions!$I$23</f>
        <v/>
      </c>
      <c r="G9" s="61">
        <f>(SUM(DCF!B14:F14)+(DCF!F12*(1+$A9)/(G$4-$A9))/((1+G$4)^5)+Assumptions!$I$21-Assumptions!$I$22)/Assumptions!$I$23</f>
        <v/>
      </c>
      <c r="H9" s="61">
        <f>(SUM(DCF!B14:F14)+(DCF!F12*(1+$A9)/(H$4-$A9))/((1+H$4)^5)+Assumptions!$I$21-Assumptions!$I$22)/Assumptions!$I$23</f>
        <v/>
      </c>
    </row>
    <row r="12">
      <c r="A12" s="17" t="inlineStr">
        <is>
          <t>数据图例 Data Legend:</t>
        </is>
      </c>
    </row>
    <row r="13">
      <c r="A13" s="16" t="inlineStr">
        <is>
          <t xml:space="preserve">  蓝色字体 Blue Font = 财报原始数据 Hardcoded from financials</t>
        </is>
      </c>
    </row>
    <row r="14">
      <c r="A14" s="16" t="inlineStr">
        <is>
          <t xml:space="preserve">  绿色字体 Green Font = 链接自其他工作表 Links from other sheets</t>
        </is>
      </c>
    </row>
    <row r="15">
      <c r="A15" s="16" t="inlineStr">
        <is>
          <t xml:space="preserve">  蓝底深蓝字体 Blue Fill = 可编辑假设 Editable assumption inputs</t>
        </is>
      </c>
    </row>
    <row r="16">
      <c r="A16" s="16" t="inlineStr">
        <is>
          <t xml:space="preserve">  黄底粗体 Yellow Fill = 关键输出 Key output rows</t>
        </is>
      </c>
    </row>
    <row r="17">
      <c r="A17" s="16" t="inlineStr">
        <is>
          <t xml:space="preserve">  黑色字体 Black Font = 公式计算 Calculated from formulas</t>
        </is>
      </c>
    </row>
    <row r="19">
      <c r="A19" s="17" t="inlineStr">
        <is>
          <t>数据来源 Data Sources:</t>
        </is>
      </c>
    </row>
    <row r="20">
      <c r="A20" s="16" t="inlineStr">
        <is>
          <t xml:space="preserve">  • Alphabet 2025 10-K Annual Report (filed Feb 4, 2026) - Consolidated Financial Statements pp.48-52</t>
        </is>
      </c>
    </row>
    <row r="21">
      <c r="A21" s="16" t="inlineStr">
        <is>
          <t xml:space="preserve">  • Alphabet 2025 10-K Note 15: Segment Information (Google Services, Cloud, Other Bets)</t>
        </is>
      </c>
    </row>
    <row r="22">
      <c r="A22" s="16" t="inlineStr">
        <is>
          <t xml:space="preserve">  • Q4 2025 Earnings Call (Feb 4, 2026): CapEx 2026 guidance $75B (single quarter) → annualized ~$180B</t>
        </is>
      </c>
    </row>
    <row r="23">
      <c r="A23" s="16" t="inlineStr">
        <is>
          <t xml:space="preserve">  • 10Y UST yield ~4.2% (Feb 2026), Fed 2% long-term inflation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8" customWidth="1" min="11" max="11"/>
  </cols>
  <sheetData>
    <row r="1">
      <c r="A1" s="4" t="inlineStr">
        <is>
          <t>Financial Ratio Analysis 财务比率分析</t>
        </is>
      </c>
    </row>
    <row r="2">
      <c r="A2" s="5" t="inlineStr">
        <is>
          <t>单位：百分比或倍数 (% or Multiple)</t>
        </is>
      </c>
    </row>
    <row r="3">
      <c r="A3" s="42" t="n"/>
      <c r="B3" s="6" t="n">
        <v>2023</v>
      </c>
      <c r="C3" s="6" t="n">
        <v>2024</v>
      </c>
      <c r="D3" s="6" t="n">
        <v>2025</v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6" t="inlineStr">
        <is>
          <t>2029E</t>
        </is>
      </c>
      <c r="I3" s="6" t="inlineStr">
        <is>
          <t>2030E</t>
        </is>
      </c>
      <c r="K3" s="6" t="inlineStr">
        <is>
          <t>Notes / 预测逻辑</t>
        </is>
      </c>
    </row>
    <row r="5">
      <c r="A5" s="14" t="inlineStr">
        <is>
          <t>Profitability 盈利能力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7" t="inlineStr">
        <is>
          <t>Gross Margin 毛利率</t>
        </is>
      </c>
      <c r="B6" s="13">
        <f>(Consolidated_PL!B5-Consolidated_PL!B14)/Consolidated_PL!B5</f>
        <v/>
      </c>
      <c r="C6" s="13">
        <f>(Consolidated_PL!C5-Consolidated_PL!C14)/Consolidated_PL!C5</f>
        <v/>
      </c>
      <c r="D6" s="13">
        <f>(Consolidated_PL!D5-Consolidated_PL!D14)/Consolidated_PL!D5</f>
        <v/>
      </c>
      <c r="E6" s="13">
        <f>(Consolidated_PL!E5-Consolidated_PL!E14)/Consolidated_PL!E5</f>
        <v/>
      </c>
      <c r="F6" s="13">
        <f>(Consolidated_PL!F5-Consolidated_PL!F14)/Consolidated_PL!F5</f>
        <v/>
      </c>
      <c r="G6" s="13">
        <f>(Consolidated_PL!G5-Consolidated_PL!G14)/Consolidated_PL!G5</f>
        <v/>
      </c>
      <c r="H6" s="13">
        <f>(Consolidated_PL!H5-Consolidated_PL!H14)/Consolidated_PL!H5</f>
        <v/>
      </c>
      <c r="I6" s="13">
        <f>(Consolidated_PL!I5-Consolidated_PL!I14)/Consolidated_PL!I5</f>
        <v/>
      </c>
      <c r="K6" s="22" t="inlineStr">
        <is>
          <t>毛利/收入</t>
        </is>
      </c>
    </row>
    <row r="7">
      <c r="A7" s="7" t="inlineStr">
        <is>
          <t>EBIT Margin 经营利润率</t>
        </is>
      </c>
      <c r="B7" s="13">
        <f>Consolidated_PL!B26/Consolidated_PL!B5</f>
        <v/>
      </c>
      <c r="C7" s="13">
        <f>Consolidated_PL!C26/Consolidated_PL!C5</f>
        <v/>
      </c>
      <c r="D7" s="13">
        <f>Consolidated_PL!D26/Consolidated_PL!D5</f>
        <v/>
      </c>
      <c r="E7" s="13">
        <f>Consolidated_PL!E26/Consolidated_PL!E5</f>
        <v/>
      </c>
      <c r="F7" s="13">
        <f>Consolidated_PL!F26/Consolidated_PL!F5</f>
        <v/>
      </c>
      <c r="G7" s="13">
        <f>Consolidated_PL!G26/Consolidated_PL!G5</f>
        <v/>
      </c>
      <c r="H7" s="13">
        <f>Consolidated_PL!H26/Consolidated_PL!H5</f>
        <v/>
      </c>
      <c r="I7" s="13">
        <f>Consolidated_PL!I26/Consolidated_PL!I5</f>
        <v/>
      </c>
      <c r="K7" s="22" t="inlineStr">
        <is>
          <t>经营利润/收入</t>
        </is>
      </c>
    </row>
    <row r="8">
      <c r="A8" s="7" t="inlineStr">
        <is>
          <t>Net Margin 净利率</t>
        </is>
      </c>
      <c r="B8" s="13">
        <f>Consolidated_PL!B33/Consolidated_PL!B5</f>
        <v/>
      </c>
      <c r="C8" s="13">
        <f>Consolidated_PL!C33/Consolidated_PL!C5</f>
        <v/>
      </c>
      <c r="D8" s="13">
        <f>Consolidated_PL!D33/Consolidated_PL!D5</f>
        <v/>
      </c>
      <c r="E8" s="13">
        <f>Consolidated_PL!E33/Consolidated_PL!E5</f>
        <v/>
      </c>
      <c r="F8" s="13">
        <f>Consolidated_PL!F33/Consolidated_PL!F5</f>
        <v/>
      </c>
      <c r="G8" s="13">
        <f>Consolidated_PL!G33/Consolidated_PL!G5</f>
        <v/>
      </c>
      <c r="H8" s="13">
        <f>Consolidated_PL!H33/Consolidated_PL!H5</f>
        <v/>
      </c>
      <c r="I8" s="13">
        <f>Consolidated_PL!I33/Consolidated_PL!I5</f>
        <v/>
      </c>
      <c r="K8" s="22" t="inlineStr">
        <is>
          <t>净利润/收入</t>
        </is>
      </c>
    </row>
    <row r="9">
      <c r="A9" s="7" t="inlineStr">
        <is>
          <t>ROE 净资产收益率</t>
        </is>
      </c>
      <c r="B9" s="13">
        <f>Consolidated_PL!B33/BS!B40</f>
        <v/>
      </c>
      <c r="C9" s="13">
        <f>Consolidated_PL!C33/BS!C40</f>
        <v/>
      </c>
      <c r="D9" s="13">
        <f>Consolidated_PL!D33/BS!D40</f>
        <v/>
      </c>
      <c r="E9" s="13">
        <f>Consolidated_PL!E33/BS!E40</f>
        <v/>
      </c>
      <c r="F9" s="13">
        <f>Consolidated_PL!F33/BS!F40</f>
        <v/>
      </c>
      <c r="G9" s="13">
        <f>Consolidated_PL!G33/BS!G40</f>
        <v/>
      </c>
      <c r="H9" s="13">
        <f>Consolidated_PL!H33/BS!H40</f>
        <v/>
      </c>
      <c r="I9" s="13">
        <f>Consolidated_PL!I33/BS!I40</f>
        <v/>
      </c>
      <c r="K9" s="22" t="inlineStr">
        <is>
          <t>净利润/股东权益</t>
        </is>
      </c>
    </row>
    <row r="10">
      <c r="A10" s="7" t="inlineStr">
        <is>
          <t>ROA 总资产收益率</t>
        </is>
      </c>
      <c r="B10" s="13">
        <f>Consolidated_PL!B33/BS!B21</f>
        <v/>
      </c>
      <c r="C10" s="13">
        <f>Consolidated_PL!C33/BS!C21</f>
        <v/>
      </c>
      <c r="D10" s="13">
        <f>Consolidated_PL!D33/BS!D21</f>
        <v/>
      </c>
      <c r="E10" s="13">
        <f>Consolidated_PL!E33/BS!E21</f>
        <v/>
      </c>
      <c r="F10" s="13">
        <f>Consolidated_PL!F33/BS!F21</f>
        <v/>
      </c>
      <c r="G10" s="13">
        <f>Consolidated_PL!G33/BS!G21</f>
        <v/>
      </c>
      <c r="H10" s="13">
        <f>Consolidated_PL!H33/BS!H21</f>
        <v/>
      </c>
      <c r="I10" s="13">
        <f>Consolidated_PL!I33/BS!I21</f>
        <v/>
      </c>
      <c r="K10" s="22" t="inlineStr">
        <is>
          <t>净利润/总资产</t>
        </is>
      </c>
    </row>
    <row r="12">
      <c r="A12" s="14" t="inlineStr">
        <is>
          <t>Operating Efficiency 营运效率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7" t="inlineStr">
        <is>
          <t>AR Days 应收账款周转天数</t>
        </is>
      </c>
      <c r="B13" s="62">
        <f>BS!B9/Consolidated_PL!B5*365</f>
        <v/>
      </c>
      <c r="C13" s="62">
        <f>BS!C9/Consolidated_PL!C5*365</f>
        <v/>
      </c>
      <c r="D13" s="62">
        <f>BS!D9/Consolidated_PL!D5*365</f>
        <v/>
      </c>
      <c r="E13" s="62">
        <f>BS!E9/Consolidated_PL!E5*365</f>
        <v/>
      </c>
      <c r="F13" s="62">
        <f>BS!F9/Consolidated_PL!F5*365</f>
        <v/>
      </c>
      <c r="G13" s="62">
        <f>BS!G9/Consolidated_PL!G5*365</f>
        <v/>
      </c>
      <c r="H13" s="62">
        <f>BS!H9/Consolidated_PL!H5*365</f>
        <v/>
      </c>
      <c r="I13" s="62">
        <f>BS!I9/Consolidated_PL!I5*365</f>
        <v/>
      </c>
      <c r="K13" s="22" t="inlineStr">
        <is>
          <t>应收/收入×365</t>
        </is>
      </c>
    </row>
    <row r="14">
      <c r="A14" s="7" t="inlineStr">
        <is>
          <t>AP Days 应付账款周转天数</t>
        </is>
      </c>
      <c r="B14" s="62">
        <f>BS!B24/Consolidated_PL!B14*365</f>
        <v/>
      </c>
      <c r="C14" s="62">
        <f>BS!C24/Consolidated_PL!C14*365</f>
        <v/>
      </c>
      <c r="D14" s="62">
        <f>BS!D24/Consolidated_PL!D14*365</f>
        <v/>
      </c>
      <c r="E14" s="62">
        <f>BS!E24/Consolidated_PL!E14*365</f>
        <v/>
      </c>
      <c r="F14" s="62">
        <f>BS!F24/Consolidated_PL!F14*365</f>
        <v/>
      </c>
      <c r="G14" s="62">
        <f>BS!G24/Consolidated_PL!G14*365</f>
        <v/>
      </c>
      <c r="H14" s="62">
        <f>BS!H24/Consolidated_PL!H14*365</f>
        <v/>
      </c>
      <c r="I14" s="62">
        <f>BS!I24/Consolidated_PL!I14*365</f>
        <v/>
      </c>
      <c r="K14" s="22" t="inlineStr">
        <is>
          <t>应付/COGS×365</t>
        </is>
      </c>
    </row>
    <row r="15">
      <c r="A15" s="7" t="inlineStr">
        <is>
          <t>CapEx Intensity 资本支出强度</t>
        </is>
      </c>
      <c r="B15" s="13">
        <f>-Cash_Flow!B26/Consolidated_PL!B5</f>
        <v/>
      </c>
      <c r="C15" s="13">
        <f>-Cash_Flow!C26/Consolidated_PL!C5</f>
        <v/>
      </c>
      <c r="D15" s="13">
        <f>-Cash_Flow!D26/Consolidated_PL!D5</f>
        <v/>
      </c>
      <c r="E15" s="13">
        <f>-Cash_Flow!E26/Consolidated_PL!E5</f>
        <v/>
      </c>
      <c r="F15" s="13">
        <f>-Cash_Flow!F26/Consolidated_PL!F5</f>
        <v/>
      </c>
      <c r="G15" s="13">
        <f>-Cash_Flow!G26/Consolidated_PL!G5</f>
        <v/>
      </c>
      <c r="H15" s="13">
        <f>-Cash_Flow!H26/Consolidated_PL!H5</f>
        <v/>
      </c>
      <c r="I15" s="13">
        <f>-Cash_Flow!I26/Consolidated_PL!I5</f>
        <v/>
      </c>
      <c r="K15" s="22" t="inlineStr">
        <is>
          <t>|CapEx|/Revenue</t>
        </is>
      </c>
    </row>
    <row r="16">
      <c r="A16" s="7" t="inlineStr">
        <is>
          <t>CapEx / D&amp;A 资本支出/折旧</t>
        </is>
      </c>
      <c r="B16" s="63">
        <f>-Cash_Flow!B26/Consolidated_PL!B37</f>
        <v/>
      </c>
      <c r="C16" s="63">
        <f>-Cash_Flow!C26/Consolidated_PL!C37</f>
        <v/>
      </c>
      <c r="D16" s="63">
        <f>-Cash_Flow!D26/Consolidated_PL!D37</f>
        <v/>
      </c>
      <c r="E16" s="63">
        <f>-Cash_Flow!E26/Consolidated_PL!E37</f>
        <v/>
      </c>
      <c r="F16" s="63">
        <f>-Cash_Flow!F26/Consolidated_PL!F37</f>
        <v/>
      </c>
      <c r="G16" s="63">
        <f>-Cash_Flow!G26/Consolidated_PL!G37</f>
        <v/>
      </c>
      <c r="H16" s="63">
        <f>-Cash_Flow!H26/Consolidated_PL!H37</f>
        <v/>
      </c>
      <c r="I16" s="63">
        <f>-Cash_Flow!I26/Consolidated_PL!I37</f>
        <v/>
      </c>
      <c r="K16" s="22" t="inlineStr">
        <is>
          <t>&gt;1x表示净投资增长</t>
        </is>
      </c>
    </row>
    <row r="18">
      <c r="A18" s="14" t="inlineStr">
        <is>
          <t>Leverage 杠杆与偿债能力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7" t="inlineStr">
        <is>
          <t>Debt / Assets 资产负债率</t>
        </is>
      </c>
      <c r="B19" s="13">
        <f>(BS!B21-BS!B40)/BS!B21</f>
        <v/>
      </c>
      <c r="C19" s="13">
        <f>(BS!C21-BS!C40)/BS!C21</f>
        <v/>
      </c>
      <c r="D19" s="13">
        <f>(BS!D21-BS!D40)/BS!D21</f>
        <v/>
      </c>
      <c r="E19" s="13">
        <f>(BS!E21-BS!E40)/BS!E21</f>
        <v/>
      </c>
      <c r="F19" s="13">
        <f>(BS!F21-BS!F40)/BS!F21</f>
        <v/>
      </c>
      <c r="G19" s="13">
        <f>(BS!G21-BS!G40)/BS!G21</f>
        <v/>
      </c>
      <c r="H19" s="13">
        <f>(BS!H21-BS!H40)/BS!H21</f>
        <v/>
      </c>
      <c r="I19" s="13">
        <f>(BS!I21-BS!I40)/BS!I21</f>
        <v/>
      </c>
      <c r="K19" s="22" t="inlineStr">
        <is>
          <t>总负债/总资产</t>
        </is>
      </c>
    </row>
    <row r="20">
      <c r="A20" s="7" t="inlineStr">
        <is>
          <t>Current Ratio 流动比率</t>
        </is>
      </c>
      <c r="B20" s="64">
        <f>BS!B11/BS!B29</f>
        <v/>
      </c>
      <c r="C20" s="64">
        <f>BS!C11/BS!C29</f>
        <v/>
      </c>
      <c r="D20" s="64">
        <f>BS!D11/BS!D29</f>
        <v/>
      </c>
      <c r="E20" s="64">
        <f>BS!E11/BS!E29</f>
        <v/>
      </c>
      <c r="F20" s="64">
        <f>BS!F11/BS!F29</f>
        <v/>
      </c>
      <c r="G20" s="64">
        <f>BS!G11/BS!G29</f>
        <v/>
      </c>
      <c r="H20" s="64">
        <f>BS!H11/BS!H29</f>
        <v/>
      </c>
      <c r="I20" s="64">
        <f>BS!I11/BS!I29</f>
        <v/>
      </c>
      <c r="K20" s="22" t="inlineStr">
        <is>
          <t>流动资产/流动负债</t>
        </is>
      </c>
    </row>
    <row r="21">
      <c r="A21" s="7" t="inlineStr">
        <is>
          <t>Net Cash 净现金 (mm)</t>
        </is>
      </c>
      <c r="B21" s="44">
        <f>BS!B8-BS!B32</f>
        <v/>
      </c>
      <c r="C21" s="44">
        <f>BS!C8-BS!C32</f>
        <v/>
      </c>
      <c r="D21" s="44">
        <f>BS!D8-BS!D32</f>
        <v/>
      </c>
      <c r="E21" s="44">
        <f>BS!E8-BS!E32</f>
        <v/>
      </c>
      <c r="F21" s="44">
        <f>BS!F8-BS!F32</f>
        <v/>
      </c>
      <c r="G21" s="44">
        <f>BS!G8-BS!G32</f>
        <v/>
      </c>
      <c r="H21" s="44">
        <f>BS!H8-BS!H32</f>
        <v/>
      </c>
      <c r="I21" s="44">
        <f>BS!I8-BS!I32</f>
        <v/>
      </c>
      <c r="K21" s="22" t="inlineStr">
        <is>
          <t>现金+证券-长期债务</t>
        </is>
      </c>
    </row>
    <row r="23">
      <c r="A23" s="14" t="inlineStr">
        <is>
          <t>Cash Flow Quality 现金流质量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7" t="inlineStr">
        <is>
          <t>OCF / Net Income 经营现金流/净利润</t>
        </is>
      </c>
      <c r="B24" s="64">
        <f>Cash_Flow!B23/Consolidated_PL!B33</f>
        <v/>
      </c>
      <c r="C24" s="64">
        <f>Cash_Flow!C23/Consolidated_PL!C33</f>
        <v/>
      </c>
      <c r="D24" s="64">
        <f>Cash_Flow!D23/Consolidated_PL!D33</f>
        <v/>
      </c>
      <c r="E24" s="64">
        <f>Cash_Flow!E23/Consolidated_PL!E33</f>
        <v/>
      </c>
      <c r="F24" s="64">
        <f>Cash_Flow!F23/Consolidated_PL!F33</f>
        <v/>
      </c>
      <c r="G24" s="64">
        <f>Cash_Flow!G23/Consolidated_PL!G33</f>
        <v/>
      </c>
      <c r="H24" s="64">
        <f>Cash_Flow!H23/Consolidated_PL!H33</f>
        <v/>
      </c>
      <c r="I24" s="64">
        <f>Cash_Flow!I23/Consolidated_PL!I33</f>
        <v/>
      </c>
      <c r="K24" s="22" t="inlineStr">
        <is>
          <t>现金流质量，&gt;1为佳</t>
        </is>
      </c>
    </row>
    <row r="25">
      <c r="A25" s="7" t="inlineStr">
        <is>
          <t>FCF / Revenue 自由现金流率</t>
        </is>
      </c>
      <c r="B25" s="13">
        <f>Cash_Flow!B34/Consolidated_PL!B5</f>
        <v/>
      </c>
      <c r="C25" s="13">
        <f>Cash_Flow!C34/Consolidated_PL!C5</f>
        <v/>
      </c>
      <c r="D25" s="13">
        <f>Cash_Flow!D34/Consolidated_PL!D5</f>
        <v/>
      </c>
      <c r="E25" s="13">
        <f>Cash_Flow!E34/Consolidated_PL!E5</f>
        <v/>
      </c>
      <c r="F25" s="13">
        <f>Cash_Flow!F34/Consolidated_PL!F5</f>
        <v/>
      </c>
      <c r="G25" s="13">
        <f>Cash_Flow!G34/Consolidated_PL!G5</f>
        <v/>
      </c>
      <c r="H25" s="13">
        <f>Cash_Flow!H34/Consolidated_PL!H5</f>
        <v/>
      </c>
      <c r="I25" s="13">
        <f>Cash_Flow!I34/Consolidated_PL!I5</f>
        <v/>
      </c>
      <c r="K25" s="22" t="inlineStr">
        <is>
          <t>FCF/Revenue</t>
        </is>
      </c>
    </row>
    <row r="27">
      <c r="A27" s="14" t="inlineStr">
        <is>
          <t>Growth 增长指标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7" t="inlineStr">
        <is>
          <t>Revenue Growth 收入增速</t>
        </is>
      </c>
      <c r="C28" s="13">
        <f>Consolidated_PL!C5/Consolidated_PL!B5-1</f>
        <v/>
      </c>
      <c r="D28" s="13">
        <f>Consolidated_PL!D5/Consolidated_PL!C5-1</f>
        <v/>
      </c>
      <c r="E28" s="13">
        <f>Consolidated_PL!E5/Consolidated_PL!D5-1</f>
        <v/>
      </c>
      <c r="F28" s="13">
        <f>Consolidated_PL!F5/Consolidated_PL!E5-1</f>
        <v/>
      </c>
      <c r="G28" s="13">
        <f>Consolidated_PL!G5/Consolidated_PL!F5-1</f>
        <v/>
      </c>
      <c r="H28" s="13">
        <f>Consolidated_PL!H5/Consolidated_PL!G5-1</f>
        <v/>
      </c>
      <c r="I28" s="13">
        <f>Consolidated_PL!I5/Consolidated_PL!H5-1</f>
        <v/>
      </c>
      <c r="K28" s="22" t="inlineStr">
        <is>
          <t>YoY</t>
        </is>
      </c>
    </row>
    <row r="29">
      <c r="A29" s="7" t="inlineStr">
        <is>
          <t>Net Income Growth 净利润增速</t>
        </is>
      </c>
      <c r="C29" s="13">
        <f>Consolidated_PL!C33/Consolidated_PL!B33-1</f>
        <v/>
      </c>
      <c r="D29" s="13">
        <f>Consolidated_PL!D33/Consolidated_PL!C33-1</f>
        <v/>
      </c>
      <c r="E29" s="13">
        <f>Consolidated_PL!E33/Consolidated_PL!D33-1</f>
        <v/>
      </c>
      <c r="F29" s="13">
        <f>Consolidated_PL!F33/Consolidated_PL!E33-1</f>
        <v/>
      </c>
      <c r="G29" s="13">
        <f>Consolidated_PL!G33/Consolidated_PL!F33-1</f>
        <v/>
      </c>
      <c r="H29" s="13">
        <f>Consolidated_PL!H33/Consolidated_PL!G33-1</f>
        <v/>
      </c>
      <c r="I29" s="13">
        <f>Consolidated_PL!I33/Consolidated_PL!H33-1</f>
        <v/>
      </c>
      <c r="K29" s="22" t="inlineStr">
        <is>
          <t>YoY</t>
        </is>
      </c>
    </row>
    <row r="30">
      <c r="A30" s="7" t="inlineStr">
        <is>
          <t>EPS Growth 每股收益增速</t>
        </is>
      </c>
      <c r="C30" s="13">
        <f>Consolidated_PL!C41/Consolidated_PL!B41-1</f>
        <v/>
      </c>
      <c r="D30" s="13">
        <f>Consolidated_PL!D41/Consolidated_PL!C41-1</f>
        <v/>
      </c>
      <c r="E30" s="13">
        <f>Consolidated_PL!E41/Consolidated_PL!D41-1</f>
        <v/>
      </c>
      <c r="F30" s="13">
        <f>Consolidated_PL!F41/Consolidated_PL!E41-1</f>
        <v/>
      </c>
      <c r="G30" s="13">
        <f>Consolidated_PL!G41/Consolidated_PL!F41-1</f>
        <v/>
      </c>
      <c r="H30" s="13">
        <f>Consolidated_PL!H41/Consolidated_PL!G41-1</f>
        <v/>
      </c>
      <c r="I30" s="13">
        <f>Consolidated_PL!I41/Consolidated_PL!H41-1</f>
        <v/>
      </c>
      <c r="K30" s="22" t="inlineStr">
        <is>
          <t>YoY</t>
        </is>
      </c>
    </row>
    <row r="32">
      <c r="A32" s="14" t="inlineStr">
        <is>
          <t>Key Investment Highlights 关键投资亮点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6" t="inlineStr">
        <is>
          <t>✓ AI驱动搜索广告持续增长，Search revenue占比&gt;55%，核心现金牛</t>
        </is>
      </c>
    </row>
    <row r="34">
      <c r="A34" s="16" t="inlineStr">
        <is>
          <t>✓ Google Cloud 48% YoY增长(Q4'25)，利润率从5%→24%快速改善</t>
        </is>
      </c>
    </row>
    <row r="35">
      <c r="A35" s="16" t="inlineStr">
        <is>
          <t>✓ CapEx高峰期(2026 ~$180B)，AI基础设施投资确立长期竞争优势</t>
        </is>
      </c>
    </row>
    <row r="36">
      <c r="A36" s="16" t="inlineStr">
        <is>
          <t>✓ 大规模回购+首次派息($0.83/share)，股东回报显著增强</t>
        </is>
      </c>
    </row>
    <row r="37">
      <c r="A37" s="16" t="inlineStr">
        <is>
          <t>✓ Net cash position &gt;$80B，资产负债表极其稳健</t>
        </is>
      </c>
    </row>
    <row r="38">
      <c r="A38" s="16" t="inlineStr">
        <is>
          <t>⚠ 风险: AI CapEx回报期不确定、DOJ反垄断诉讼、Cloud竞争加剧</t>
        </is>
      </c>
    </row>
    <row r="39">
      <c r="A39" s="16" t="inlineStr">
        <is>
          <t>⚠ 风险: 2025 OI&amp;E含$24B非上市证券估值收益(不可持续)</t>
        </is>
      </c>
    </row>
    <row r="42">
      <c r="A42" s="17" t="inlineStr">
        <is>
          <t>数据图例 Data Legend:</t>
        </is>
      </c>
    </row>
    <row r="43">
      <c r="A43" s="16" t="inlineStr">
        <is>
          <t xml:space="preserve">  蓝色字体 Blue Font = 财报原始数据 Hardcoded from financials</t>
        </is>
      </c>
    </row>
    <row r="44">
      <c r="A44" s="16" t="inlineStr">
        <is>
          <t xml:space="preserve">  绿色字体 Green Font = 链接自其他工作表 Links from other sheets</t>
        </is>
      </c>
    </row>
    <row r="45">
      <c r="A45" s="16" t="inlineStr">
        <is>
          <t xml:space="preserve">  蓝底深蓝字体 Blue Fill = 可编辑假设 Editable assumption inputs</t>
        </is>
      </c>
    </row>
    <row r="46">
      <c r="A46" s="16" t="inlineStr">
        <is>
          <t xml:space="preserve">  黄底粗体 Yellow Fill = 关键输出 Key output rows</t>
        </is>
      </c>
    </row>
    <row r="47">
      <c r="A47" s="16" t="inlineStr">
        <is>
          <t xml:space="preserve">  黑色字体 Black Font = 公式计算 Calculated from formulas</t>
        </is>
      </c>
    </row>
    <row r="49">
      <c r="A49" s="17" t="inlineStr">
        <is>
          <t>数据来源 Data Sources:</t>
        </is>
      </c>
    </row>
    <row r="50">
      <c r="A50" s="16" t="inlineStr">
        <is>
          <t xml:space="preserve">  • Alphabet 2025 10-K Annual Report (filed Feb 4, 2026) - Consolidated Financial Statements pp.48-52</t>
        </is>
      </c>
    </row>
    <row r="51">
      <c r="A51" s="16" t="inlineStr">
        <is>
          <t xml:space="preserve">  • Alphabet 2025 10-K Note 15: Segment Information (Google Services, Cloud, Other Bets)</t>
        </is>
      </c>
    </row>
    <row r="52">
      <c r="A52" s="16" t="inlineStr">
        <is>
          <t xml:space="preserve">  • Q4 2025 Earnings Call (Feb 4, 2026): CapEx 2026 guidance $75B (single quarter) → annualized ~$180B</t>
        </is>
      </c>
    </row>
    <row r="53">
      <c r="A53" s="16" t="inlineStr">
        <is>
          <t xml:space="preserve">  • 10Y UST yield ~4.2% (Feb 2026), Fed 2% long-term inflation target</t>
        </is>
      </c>
    </row>
  </sheetData>
  <mergeCells count="6">
    <mergeCell ref="A12:K12"/>
    <mergeCell ref="A18:K18"/>
    <mergeCell ref="A32:K32"/>
    <mergeCell ref="A5:K5"/>
    <mergeCell ref="A23:K23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2026-02-12T02:09:20Z</dcterms:created>
  <dcterms:modified xmlns:dcterms="http://purl.org/dc/terms/" xmlns:xsi="http://www.w3.org/2001/XMLSchema-instance" xsi:type="dcterms:W3CDTF">2026-02-12T02:09:20Z</dcterms:modified>
</cp:coreProperties>
</file>